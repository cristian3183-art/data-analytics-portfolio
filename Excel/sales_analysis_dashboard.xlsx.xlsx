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barcelogroup-my.sharepoint.com/personal/c_murillo_murillo_emp_barcelo_com/Documents/Escritorio/"/>
    </mc:Choice>
  </mc:AlternateContent>
  <xr:revisionPtr revIDLastSave="146" documentId="8_{D7674A6E-CFA2-4DC0-872D-80C458E11BD2}" xr6:coauthVersionLast="47" xr6:coauthVersionMax="47" xr10:uidLastSave="{F1165A56-EFB7-4228-A9A9-78861E0B4313}"/>
  <bookViews>
    <workbookView xWindow="-120" yWindow="-120" windowWidth="29040" windowHeight="15720" activeTab="2" xr2:uid="{00000000-000D-0000-FFFF-FFFF00000000}"/>
  </bookViews>
  <sheets>
    <sheet name="tblSales" sheetId="1" r:id="rId1"/>
    <sheet name="PivotTables" sheetId="2" r:id="rId2"/>
    <sheet name="Dashboard" sheetId="3" r:id="rId3"/>
  </sheets>
  <definedNames>
    <definedName name="SegmentaciónDeDatos_Category">#N/A</definedName>
    <definedName name="SegmentaciónDeDatos_Mes">#N/A</definedName>
    <definedName name="SegmentaciónDeDatos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B5" i="3"/>
  <c r="D5" i="3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<sst xmlns="http://schemas.openxmlformats.org/spreadsheetml/2006/main" count="1252" uniqueCount="250">
  <si>
    <t>Order ID</t>
  </si>
  <si>
    <t>Date</t>
  </si>
  <si>
    <t>Region</t>
  </si>
  <si>
    <t>Product</t>
  </si>
  <si>
    <t>Category</t>
  </si>
  <si>
    <t>Sales</t>
  </si>
  <si>
    <t>Profit</t>
  </si>
  <si>
    <t>Quantity</t>
  </si>
  <si>
    <t>2025-03-24</t>
  </si>
  <si>
    <t>North</t>
  </si>
  <si>
    <t>Mouse</t>
  </si>
  <si>
    <t>Technology</t>
  </si>
  <si>
    <t>2025-07-04</t>
  </si>
  <si>
    <t>East</t>
  </si>
  <si>
    <t>Desk</t>
  </si>
  <si>
    <t>Furniture</t>
  </si>
  <si>
    <t>2025-06-26</t>
  </si>
  <si>
    <t>West</t>
  </si>
  <si>
    <t>Notebook</t>
  </si>
  <si>
    <t>Office Supplies</t>
  </si>
  <si>
    <t>2025-01-17</t>
  </si>
  <si>
    <t>2025-03-30</t>
  </si>
  <si>
    <t>Printer</t>
  </si>
  <si>
    <t>2025-02-27</t>
  </si>
  <si>
    <t>2025-11-11</t>
  </si>
  <si>
    <t>2025-11-06</t>
  </si>
  <si>
    <t>South</t>
  </si>
  <si>
    <t>2025-12-28</t>
  </si>
  <si>
    <t>2025-02-25</t>
  </si>
  <si>
    <t>2025-01-10</t>
  </si>
  <si>
    <t>2025-01-03</t>
  </si>
  <si>
    <t>2025-02-12</t>
  </si>
  <si>
    <t>2025-12-18</t>
  </si>
  <si>
    <t>Chair</t>
  </si>
  <si>
    <t>2025-09-16</t>
  </si>
  <si>
    <t>Laptop</t>
  </si>
  <si>
    <t>2025-08-10</t>
  </si>
  <si>
    <t>2025-09-11</t>
  </si>
  <si>
    <t>2025-03-16</t>
  </si>
  <si>
    <t>2025-08-13</t>
  </si>
  <si>
    <t>2025-11-12</t>
  </si>
  <si>
    <t>2025-10-30</t>
  </si>
  <si>
    <t>2025-10-07</t>
  </si>
  <si>
    <t>2025-02-24</t>
  </si>
  <si>
    <t>2025-01-13</t>
  </si>
  <si>
    <t>2025-06-29</t>
  </si>
  <si>
    <t>2025-07-03</t>
  </si>
  <si>
    <t>2025-10-02</t>
  </si>
  <si>
    <t>2025-03-15</t>
  </si>
  <si>
    <t>2025-06-21</t>
  </si>
  <si>
    <t>2025-06-01</t>
  </si>
  <si>
    <t>2025-02-01</t>
  </si>
  <si>
    <t>2025-10-15</t>
  </si>
  <si>
    <t>2025-04-24</t>
  </si>
  <si>
    <t>2025-12-24</t>
  </si>
  <si>
    <t>2025-12-13</t>
  </si>
  <si>
    <t>2025-06-24</t>
  </si>
  <si>
    <t>2025-03-07</t>
  </si>
  <si>
    <t>2025-03-25</t>
  </si>
  <si>
    <t>2025-06-07</t>
  </si>
  <si>
    <t>2025-07-22</t>
  </si>
  <si>
    <t>2025-09-10</t>
  </si>
  <si>
    <t>2025-08-21</t>
  </si>
  <si>
    <t>2025-03-17</t>
  </si>
  <si>
    <t>2025-11-23</t>
  </si>
  <si>
    <t>2025-08-24</t>
  </si>
  <si>
    <t>2025-09-26</t>
  </si>
  <si>
    <t>2025-03-21</t>
  </si>
  <si>
    <t>2025-01-14</t>
  </si>
  <si>
    <t>2025-04-18</t>
  </si>
  <si>
    <t>2025-03-27</t>
  </si>
  <si>
    <t>2025-01-16</t>
  </si>
  <si>
    <t>2025-02-22</t>
  </si>
  <si>
    <t>2025-02-23</t>
  </si>
  <si>
    <t>2025-08-31</t>
  </si>
  <si>
    <t>2025-09-02</t>
  </si>
  <si>
    <t>2025-03-23</t>
  </si>
  <si>
    <t>2025-06-28</t>
  </si>
  <si>
    <t>2025-05-03</t>
  </si>
  <si>
    <t>2025-03-26</t>
  </si>
  <si>
    <t>2025-09-28</t>
  </si>
  <si>
    <t>2025-12-31</t>
  </si>
  <si>
    <t>2025-09-17</t>
  </si>
  <si>
    <t>2025-03-05</t>
  </si>
  <si>
    <t>2025-08-18</t>
  </si>
  <si>
    <t>2025-07-19</t>
  </si>
  <si>
    <t>2025-11-19</t>
  </si>
  <si>
    <t>2025-06-05</t>
  </si>
  <si>
    <t>2025-11-26</t>
  </si>
  <si>
    <t>2025-06-20</t>
  </si>
  <si>
    <t>2025-01-22</t>
  </si>
  <si>
    <t>2025-01-26</t>
  </si>
  <si>
    <t>2025-12-20</t>
  </si>
  <si>
    <t>2025-03-18</t>
  </si>
  <si>
    <t>2025-04-20</t>
  </si>
  <si>
    <t>2025-09-18</t>
  </si>
  <si>
    <t>2025-09-30</t>
  </si>
  <si>
    <t>2025-12-01</t>
  </si>
  <si>
    <t>2025-08-14</t>
  </si>
  <si>
    <t>2025-01-25</t>
  </si>
  <si>
    <t>2025-07-11</t>
  </si>
  <si>
    <t>2025-03-20</t>
  </si>
  <si>
    <t>2025-03-14</t>
  </si>
  <si>
    <t>2025-12-29</t>
  </si>
  <si>
    <t>2025-08-22</t>
  </si>
  <si>
    <t>2025-09-15</t>
  </si>
  <si>
    <t>2025-10-20</t>
  </si>
  <si>
    <t>2025-09-13</t>
  </si>
  <si>
    <t>2025-12-19</t>
  </si>
  <si>
    <t>2025-11-18</t>
  </si>
  <si>
    <t>2025-05-23</t>
  </si>
  <si>
    <t>2025-09-23</t>
  </si>
  <si>
    <t>2025-02-16</t>
  </si>
  <si>
    <t>2025-10-18</t>
  </si>
  <si>
    <t>2025-12-06</t>
  </si>
  <si>
    <t>2025-09-03</t>
  </si>
  <si>
    <t>2025-07-12</t>
  </si>
  <si>
    <t>2025-10-23</t>
  </si>
  <si>
    <t>2025-05-09</t>
  </si>
  <si>
    <t>2025-12-09</t>
  </si>
  <si>
    <t>2025-08-06</t>
  </si>
  <si>
    <t>2025-03-06</t>
  </si>
  <si>
    <t>2025-01-30</t>
  </si>
  <si>
    <t>2025-04-05</t>
  </si>
  <si>
    <t>2025-04-06</t>
  </si>
  <si>
    <t>2025-03-29</t>
  </si>
  <si>
    <t>2025-12-25</t>
  </si>
  <si>
    <t>2025-05-24</t>
  </si>
  <si>
    <t>2025-12-04</t>
  </si>
  <si>
    <t>2025-09-08</t>
  </si>
  <si>
    <t>2025-09-05</t>
  </si>
  <si>
    <t>2025-02-28</t>
  </si>
  <si>
    <t>2025-06-16</t>
  </si>
  <si>
    <t>2025-04-16</t>
  </si>
  <si>
    <t>2025-11-27</t>
  </si>
  <si>
    <t>2025-04-27</t>
  </si>
  <si>
    <t>2025-01-09</t>
  </si>
  <si>
    <t>2025-05-01</t>
  </si>
  <si>
    <t>2025-09-01</t>
  </si>
  <si>
    <t>2025-05-04</t>
  </si>
  <si>
    <t>2025-10-25</t>
  </si>
  <si>
    <t>2025-12-23</t>
  </si>
  <si>
    <t>2025-11-14</t>
  </si>
  <si>
    <t>2025-10-29</t>
  </si>
  <si>
    <t>2025-07-26</t>
  </si>
  <si>
    <t>2025-03-01</t>
  </si>
  <si>
    <t>2025-11-07</t>
  </si>
  <si>
    <t>2025-10-16</t>
  </si>
  <si>
    <t>2025-10-27</t>
  </si>
  <si>
    <t>2025-05-26</t>
  </si>
  <si>
    <t>2025-10-08</t>
  </si>
  <si>
    <t>2025-10-26</t>
  </si>
  <si>
    <t>2025-09-09</t>
  </si>
  <si>
    <t>2025-03-31</t>
  </si>
  <si>
    <t>2025-02-14</t>
  </si>
  <si>
    <t>2025-05-05</t>
  </si>
  <si>
    <t>2025-04-08</t>
  </si>
  <si>
    <t>2025-01-20</t>
  </si>
  <si>
    <t>2025-08-01</t>
  </si>
  <si>
    <t>2025-10-11</t>
  </si>
  <si>
    <t>2025-03-03</t>
  </si>
  <si>
    <t>2025-03-10</t>
  </si>
  <si>
    <t>2025-03-02</t>
  </si>
  <si>
    <t>2025-03-28</t>
  </si>
  <si>
    <t>2025-03-08</t>
  </si>
  <si>
    <t>2025-07-17</t>
  </si>
  <si>
    <t>2025-08-03</t>
  </si>
  <si>
    <t>2025-05-22</t>
  </si>
  <si>
    <t>2025-06-17</t>
  </si>
  <si>
    <t>2025-01-01</t>
  </si>
  <si>
    <t>2025-12-07</t>
  </si>
  <si>
    <t>2025-07-02</t>
  </si>
  <si>
    <t>2025-10-14</t>
  </si>
  <si>
    <t>2025-07-07</t>
  </si>
  <si>
    <t>2025-01-12</t>
  </si>
  <si>
    <t>2025-07-18</t>
  </si>
  <si>
    <t>2025-07-21</t>
  </si>
  <si>
    <t>2025-06-27</t>
  </si>
  <si>
    <t>2025-02-20</t>
  </si>
  <si>
    <t>2025-01-05</t>
  </si>
  <si>
    <t>2025-08-28</t>
  </si>
  <si>
    <t>2025-05-31</t>
  </si>
  <si>
    <t>2025-07-29</t>
  </si>
  <si>
    <t>2025-09-14</t>
  </si>
  <si>
    <t>2025-02-17</t>
  </si>
  <si>
    <t>2025-02-18</t>
  </si>
  <si>
    <t>2025-08-04</t>
  </si>
  <si>
    <t>2025-06-08</t>
  </si>
  <si>
    <t>2025-10-06</t>
  </si>
  <si>
    <t>2025-01-06</t>
  </si>
  <si>
    <t>2025-08-05</t>
  </si>
  <si>
    <t>2025-06-04</t>
  </si>
  <si>
    <t>2025-02-15</t>
  </si>
  <si>
    <t>2025-12-11</t>
  </si>
  <si>
    <t>2025-07-01</t>
  </si>
  <si>
    <t>2025-06-06</t>
  </si>
  <si>
    <t>2025-01-18</t>
  </si>
  <si>
    <t>2025-01-11</t>
  </si>
  <si>
    <t>2025-06-10</t>
  </si>
  <si>
    <t>2025-01-27</t>
  </si>
  <si>
    <t>2025-08-16</t>
  </si>
  <si>
    <t>2025-02-11</t>
  </si>
  <si>
    <t>2025-08-15</t>
  </si>
  <si>
    <t>2025-02-05</t>
  </si>
  <si>
    <t>2025-07-10</t>
  </si>
  <si>
    <t>2025-08-19</t>
  </si>
  <si>
    <t>2025-08-26</t>
  </si>
  <si>
    <t>2025-08-29</t>
  </si>
  <si>
    <t>2025-12-03</t>
  </si>
  <si>
    <t>2025-12-30</t>
  </si>
  <si>
    <t>2025-11-04</t>
  </si>
  <si>
    <t>2025-05-14</t>
  </si>
  <si>
    <t>2025-10-21</t>
  </si>
  <si>
    <t>2025-10-19</t>
  </si>
  <si>
    <t>2025-09-12</t>
  </si>
  <si>
    <t>2025-09-25</t>
  </si>
  <si>
    <t>2025-04-22</t>
  </si>
  <si>
    <t>2025-01-15</t>
  </si>
  <si>
    <t>2025-08-02</t>
  </si>
  <si>
    <t>2025-06-22</t>
  </si>
  <si>
    <t>2025-10-10</t>
  </si>
  <si>
    <t>2025-07-27</t>
  </si>
  <si>
    <t>2025-12-17</t>
  </si>
  <si>
    <t>2025-05-16</t>
  </si>
  <si>
    <t>2025-10-13</t>
  </si>
  <si>
    <t>2025-06-13</t>
  </si>
  <si>
    <t>2025-02-09</t>
  </si>
  <si>
    <t>Etiquetas de fila</t>
  </si>
  <si>
    <t>Total general</t>
  </si>
  <si>
    <t>Suma de Sales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</si>
  <si>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</si>
  <si>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</si>
  <si>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</si>
  <si>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</si>
  <si>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</si>
  <si>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</si>
  <si>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</si>
  <si>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</si>
  <si>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</si>
  <si>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</si>
  <si>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</si>
  <si>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</si>
  <si>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</si>
  <si>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 de Profit</t>
  </si>
  <si>
    <t>SALES ANALYSIS DASHBOARD</t>
  </si>
  <si>
    <t>Total Sales</t>
  </si>
  <si>
    <t>Total Profit</t>
  </si>
  <si>
    <t>Total Orders</t>
  </si>
  <si>
    <t>Total Quantity</t>
  </si>
  <si>
    <t>Created by Cristian Murillo | Excel Dashboard Project |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</si>
</sst>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4" fontId="5" fillId="3" borderId="2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17/10/relationships/person" Target="persons/perso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[sales_analysis_dashboard.xlsx.xlsx]PivotTables!TablaDinámica1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/>
              <a:t>Sales</a:t>
            </a:r>
            <a:r>
              <a:rPr lang="es-MX" sz="1200" b="1" baseline="0"/>
              <a:t> by Region</a:t>
            </a:r>
            <a:endParaRPr lang="es-MX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PivotTables!$B$4:$B$8</c:f>
              <c:numCache>
                <c:formatCode>"$"#,##0.00</c:formatCode>
                <c:ptCount val="4"/>
                <c:pt idx="0">
                  <c:v>59328</c:v>
                </c:pt>
                <c:pt idx="1">
                  <c:v>65356</c:v>
                </c:pt>
                <c:pt idx="2">
                  <c:v>57397</c:v>
                </c:pt>
                <c:pt idx="3">
                  <c:v>60705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6-4AE9-8147-29E3833DB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442944"/>
        <c:axId val="951570320"/>
      </c:barChart>
      <c:catAx>
        <c:axId val="15554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1570320"/>
        <c:crosses val="autoZero"/>
        <c:auto val="1"/>
        <c:lblAlgn val="ctr"/>
        <c:lblOffset val="100"/>
        <c:noMultiLvlLbl val="0"/>
      </c:catAx>
      <c:valAx>
        <c:axId val="9515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544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[sales_analysis_dashboard.xlsx.xlsx]PivotTables!TablaDinámica2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/>
              <a:t>Sales</a:t>
            </a:r>
            <a:r>
              <a:rPr lang="es-MX" sz="1200" b="1" baseline="0"/>
              <a:t> by Category</a:t>
            </a:r>
            <a:endParaRPr lang="es-MX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14-4995-871C-8267198300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14-4995-871C-8267198300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14-4995-871C-826719830022}"/>
              </c:ext>
            </c:extLst>
          </c:dPt>
          <c:cat>
            <c:strRef>
              <c:f>PivotTables!$A$16:$A$19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PivotTables!$B$16:$B$19</c:f>
              <c:numCache>
                <c:formatCode>"$"#,##0.00</c:formatCode>
                <c:ptCount val="3"/>
                <c:pt idx="0">
                  <c:v>82114</c:v>
                </c:pt>
                <c:pt idx="1">
                  <c:v>83500</c:v>
                </c:pt>
                <c:pt idx="2">
                  <c:v>77172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14-4995-871C-82671983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[sales_analysis_dashboard.xlsx.xlsx]PivotTables!TablaDinámica4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/>
              <a:t>Sales</a:t>
            </a:r>
            <a:r>
              <a:rPr lang="es-MX" sz="1200" b="1" baseline="0"/>
              <a:t> by Month</a:t>
            </a:r>
            <a:endParaRPr lang="es-MX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PivotTables!$G$4:$G$16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PivotTables!$H$4:$H$16</c:f>
              <c:numCache>
                <c:formatCode>"$"#,##0.00</c:formatCode>
                <c:ptCount val="12"/>
                <c:pt idx="0">
                  <c:v>21916</c:v>
                </c:pt>
                <c:pt idx="1">
                  <c:v>27563</c:v>
                </c:pt>
                <c:pt idx="2">
                  <c:v>30493</c:v>
                </c:pt>
                <c:pt idx="3">
                  <c:v>6519</c:v>
                </c:pt>
                <c:pt idx="4">
                  <c:v>13448</c:v>
                </c:pt>
                <c:pt idx="5">
                  <c:v>16919</c:v>
                </c:pt>
                <c:pt idx="6">
                  <c:v>18264</c:v>
                </c:pt>
                <c:pt idx="7">
                  <c:v>23234</c:v>
                </c:pt>
                <c:pt idx="8">
                  <c:v>29403</c:v>
                </c:pt>
                <c:pt idx="9">
                  <c:v>20726</c:v>
                </c:pt>
                <c:pt idx="10">
                  <c:v>14769</c:v>
                </c:pt>
                <c:pt idx="11">
                  <c:v>19532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F-472A-BF1F-72F312645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072864"/>
        <c:axId val="1997070384"/>
      </c:lineChart>
      <c:catAx>
        <c:axId val="5920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7070384"/>
        <c:crosses val="autoZero"/>
        <c:auto val="1"/>
        <c:lblAlgn val="ctr"/>
        <c:lblOffset val="100"/>
        <c:noMultiLvlLbl val="0"/>
      </c:catAx>
      <c:valAx>
        <c:axId val="19970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207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[sales_analysis_dashboard.xlsx.xlsx]PivotTables!TablaDinámica5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1"/>
              <a:t>Profit</a:t>
            </a:r>
            <a:r>
              <a:rPr lang="es-MX" sz="1200" b="1" baseline="0"/>
              <a:t> by product</a:t>
            </a:r>
            <a:endParaRPr lang="es-MX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PivotTables!$G$20:$G$26</c:f>
              <c:strCache>
                <c:ptCount val="6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Mouse</c:v>
                </c:pt>
                <c:pt idx="4">
                  <c:v>Notebook</c:v>
                </c:pt>
                <c:pt idx="5">
                  <c:v>Printer</c:v>
                </c:pt>
              </c:strCache>
            </c:strRef>
          </c:cat>
          <c:val>
            <c:numRef>
              <c:f>PivotTables!$H$20:$H$26</c:f>
              <c:numCache>
                <c:formatCode>"$"#,##0.00</c:formatCode>
                <c:ptCount val="6"/>
                <c:pt idx="0">
                  <c:v>7215.3099999999977</c:v>
                </c:pt>
                <c:pt idx="1">
                  <c:v>6411.4000000000015</c:v>
                </c:pt>
                <c:pt idx="2">
                  <c:v>6510.5599999999977</c:v>
                </c:pt>
                <c:pt idx="3">
                  <c:v>6652.1499999999987</c:v>
                </c:pt>
                <c:pt idx="4">
                  <c:v>6674.9700000000021</c:v>
                </c:pt>
                <c:pt idx="5">
                  <c:v>8429.76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8-496F-AE62-530D44D8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3739744"/>
        <c:axId val="1997005104"/>
      </c:barChart>
      <c:catAx>
        <c:axId val="196373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7005104"/>
        <c:crosses val="autoZero"/>
        <c:auto val="1"/>
        <c:lblAlgn val="ctr"/>
        <c:lblOffset val="100"/>
        <c:noMultiLvlLbl val="0"/>
      </c:catAx>
      <c:valAx>
        <c:axId val="199700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373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7</xdr:row>
      <xdr:rowOff>38099</xdr:rowOff>
    </xdr:from>
    <xdr:to>
      <xdr:col>6</xdr:col>
      <xdr:colOff>190500</xdr:colOff>
      <xdr:row>22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45DA20-6E31-40BE-97A1-1EB4F2548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742950</xdr:colOff>
      <xdr:row>7</xdr:row>
      <xdr:rowOff>57150</xdr:rowOff>
    </xdr:from>
    <xdr:to>
      <xdr:col>12</xdr:col>
      <xdr:colOff>742950</xdr:colOff>
      <xdr:row>21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2F2B3C-6F48-4C15-B512-3E88B02D9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22</xdr:row>
      <xdr:rowOff>123825</xdr:rowOff>
    </xdr:from>
    <xdr:to>
      <xdr:col>6</xdr:col>
      <xdr:colOff>180975</xdr:colOff>
      <xdr:row>37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F420D0-2E0A-42F8-8D3C-B5767FD22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37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B524D4-C8AA-4FA2-87C6-0ED270E90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8</xdr:row>
      <xdr:rowOff>0</xdr:rowOff>
    </xdr:from>
    <xdr:to>
      <xdr:col>16</xdr:col>
      <xdr:colOff>304800</xdr:colOff>
      <xdr:row>21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EBB53EBF-F1C1-4339-8117-CDE46D9B02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5150" y="1524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0</xdr:colOff>
      <xdr:row>8</xdr:row>
      <xdr:rowOff>0</xdr:rowOff>
    </xdr:from>
    <xdr:to>
      <xdr:col>19</xdr:col>
      <xdr:colOff>304800</xdr:colOff>
      <xdr:row>21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7100273B-7C4A-4CEE-9EC6-12EB82E4EB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1150" y="1524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0</xdr:colOff>
      <xdr:row>8</xdr:row>
      <xdr:rowOff>0</xdr:rowOff>
    </xdr:from>
    <xdr:to>
      <xdr:col>22</xdr:col>
      <xdr:colOff>304800</xdr:colOff>
      <xdr:row>21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s">
              <a:extLst>
                <a:ext uri="{FF2B5EF4-FFF2-40B4-BE49-F238E27FC236}">
                  <a16:creationId xmlns:a16="http://schemas.microsoft.com/office/drawing/2014/main" id="{2DE2842A-0AF0-48A1-8A66-ED0C1EB0F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97150" y="1524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hian Murillo Murillo" refreshedDate="46227.439615162039" createdVersion="8" refreshedVersion="8" minRefreshableVersion="3" recordCount="300" xr:uid="{42AAD8BC-284B-41F8-9D99-4D28EA51322B}">
  <cacheSource type="worksheet">
    <worksheetSource name="tblSales"/>
  </cacheSource>
  <cacheFields count="9">
    <cacheField name="Order ID" numFmtId="0">
      <sharedItems containsSemiMixedTypes="0" containsString="0" containsNumber="1" containsInteger="1" minValue="1001" maxValue="1300"/>
    </cacheField>
    <cacheField name="Date" numFmtId="0">
      <sharedItems/>
    </cacheField>
    <cacheField name="Mes" numFmtId="0">
      <sharedItems count="12">
        <s v="marzo"/>
        <s v="julio"/>
        <s v="junio"/>
        <s v="enero"/>
        <s v="febrero"/>
        <s v="noviembre"/>
        <s v="diciembre"/>
        <s v="septiembre"/>
        <s v="agosto"/>
        <s v="octubre"/>
        <s v="abril"/>
        <s v="mayo"/>
      </sharedItems>
    </cacheField>
    <cacheField name="Region" numFmtId="0">
      <sharedItems count="4">
        <s v="North"/>
        <s v="East"/>
        <s v="West"/>
        <s v="South"/>
      </sharedItems>
    </cacheField>
    <cacheField name="Product" numFmtId="0">
      <sharedItems count="6">
        <s v="Mouse"/>
        <s v="Desk"/>
        <s v="Notebook"/>
        <s v="Printer"/>
        <s v="Chair"/>
        <s v="Laptop"/>
      </sharedItems>
    </cacheField>
    <cacheField name="Category" numFmtId="0">
      <sharedItems count="3">
        <s v="Technology"/>
        <s v="Furniture"/>
        <s v="Office Supplies"/>
      </sharedItems>
    </cacheField>
    <cacheField name="Sales" numFmtId="0">
      <sharedItems containsSemiMixedTypes="0" containsString="0" containsNumber="1" containsInteger="1" minValue="28" maxValue="1494"/>
    </cacheField>
    <cacheField name="Profit" numFmtId="0">
      <sharedItems containsSemiMixedTypes="0" containsString="0" containsNumber="1" minValue="3.08" maxValue="414.99"/>
    </cacheField>
    <cacheField name="Quantity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6312023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01"/>
    <s v="2025-03-24"/>
    <x v="0"/>
    <x v="0"/>
    <x v="0"/>
    <x v="0"/>
    <n v="236"/>
    <n v="51.92"/>
    <n v="4"/>
  </r>
  <r>
    <n v="1002"/>
    <s v="2025-07-04"/>
    <x v="1"/>
    <x v="1"/>
    <x v="1"/>
    <x v="1"/>
    <n v="1387"/>
    <n v="152.57"/>
    <n v="3"/>
  </r>
  <r>
    <n v="1003"/>
    <s v="2025-06-26"/>
    <x v="2"/>
    <x v="2"/>
    <x v="2"/>
    <x v="2"/>
    <n v="994"/>
    <n v="188.86"/>
    <n v="6"/>
  </r>
  <r>
    <n v="1004"/>
    <s v="2025-01-17"/>
    <x v="3"/>
    <x v="1"/>
    <x v="2"/>
    <x v="2"/>
    <n v="1354"/>
    <n v="406.2"/>
    <n v="3"/>
  </r>
  <r>
    <n v="1005"/>
    <s v="2025-03-30"/>
    <x v="0"/>
    <x v="2"/>
    <x v="3"/>
    <x v="2"/>
    <n v="378"/>
    <n v="94.5"/>
    <n v="9"/>
  </r>
  <r>
    <n v="1006"/>
    <s v="2025-02-27"/>
    <x v="4"/>
    <x v="0"/>
    <x v="0"/>
    <x v="0"/>
    <n v="1228"/>
    <n v="368.4"/>
    <n v="4"/>
  </r>
  <r>
    <n v="1007"/>
    <s v="2025-11-11"/>
    <x v="5"/>
    <x v="2"/>
    <x v="1"/>
    <x v="1"/>
    <n v="1273"/>
    <n v="114.57"/>
    <n v="4"/>
  </r>
  <r>
    <n v="1008"/>
    <s v="2025-11-06"/>
    <x v="5"/>
    <x v="3"/>
    <x v="1"/>
    <x v="1"/>
    <n v="1395"/>
    <n v="237.15"/>
    <n v="5"/>
  </r>
  <r>
    <n v="1009"/>
    <s v="2025-12-28"/>
    <x v="6"/>
    <x v="1"/>
    <x v="1"/>
    <x v="1"/>
    <n v="314"/>
    <n v="21.98"/>
    <n v="8"/>
  </r>
  <r>
    <n v="1010"/>
    <s v="2025-02-25"/>
    <x v="4"/>
    <x v="1"/>
    <x v="1"/>
    <x v="1"/>
    <n v="440"/>
    <n v="39.6"/>
    <n v="8"/>
  </r>
  <r>
    <n v="1011"/>
    <s v="2025-03-30"/>
    <x v="0"/>
    <x v="1"/>
    <x v="2"/>
    <x v="2"/>
    <n v="407"/>
    <n v="52.91"/>
    <n v="10"/>
  </r>
  <r>
    <n v="1012"/>
    <s v="2025-01-10"/>
    <x v="3"/>
    <x v="0"/>
    <x v="2"/>
    <x v="2"/>
    <n v="1468"/>
    <n v="73.400000000000006"/>
    <n v="1"/>
  </r>
  <r>
    <n v="1013"/>
    <s v="2025-01-03"/>
    <x v="3"/>
    <x v="2"/>
    <x v="2"/>
    <x v="2"/>
    <n v="471"/>
    <n v="141.30000000000001"/>
    <n v="4"/>
  </r>
  <r>
    <n v="1014"/>
    <s v="2025-02-12"/>
    <x v="4"/>
    <x v="2"/>
    <x v="3"/>
    <x v="2"/>
    <n v="1431"/>
    <n v="414.99"/>
    <n v="7"/>
  </r>
  <r>
    <n v="1015"/>
    <s v="2025-12-18"/>
    <x v="6"/>
    <x v="1"/>
    <x v="4"/>
    <x v="1"/>
    <n v="146"/>
    <n v="7.3"/>
    <n v="4"/>
  </r>
  <r>
    <n v="1016"/>
    <s v="2025-09-16"/>
    <x v="7"/>
    <x v="0"/>
    <x v="5"/>
    <x v="0"/>
    <n v="1215"/>
    <n v="255.15"/>
    <n v="7"/>
  </r>
  <r>
    <n v="1017"/>
    <s v="2025-08-10"/>
    <x v="8"/>
    <x v="0"/>
    <x v="0"/>
    <x v="0"/>
    <n v="1000"/>
    <n v="100"/>
    <n v="1"/>
  </r>
  <r>
    <n v="1018"/>
    <s v="2025-09-11"/>
    <x v="7"/>
    <x v="2"/>
    <x v="2"/>
    <x v="2"/>
    <n v="1382"/>
    <n v="345.5"/>
    <n v="7"/>
  </r>
  <r>
    <n v="1019"/>
    <s v="2025-03-16"/>
    <x v="0"/>
    <x v="3"/>
    <x v="1"/>
    <x v="1"/>
    <n v="702"/>
    <n v="154.44"/>
    <n v="7"/>
  </r>
  <r>
    <n v="1020"/>
    <s v="2025-08-13"/>
    <x v="8"/>
    <x v="1"/>
    <x v="0"/>
    <x v="0"/>
    <n v="865"/>
    <n v="233.55"/>
    <n v="7"/>
  </r>
  <r>
    <n v="1021"/>
    <s v="2025-11-12"/>
    <x v="5"/>
    <x v="1"/>
    <x v="1"/>
    <x v="1"/>
    <n v="301"/>
    <n v="15.05"/>
    <n v="3"/>
  </r>
  <r>
    <n v="1022"/>
    <s v="2025-10-30"/>
    <x v="9"/>
    <x v="2"/>
    <x v="2"/>
    <x v="2"/>
    <n v="601"/>
    <n v="108.18"/>
    <n v="5"/>
  </r>
  <r>
    <n v="1023"/>
    <s v="2025-10-07"/>
    <x v="9"/>
    <x v="3"/>
    <x v="0"/>
    <x v="0"/>
    <n v="986"/>
    <n v="118.32"/>
    <n v="1"/>
  </r>
  <r>
    <n v="1024"/>
    <s v="2025-02-24"/>
    <x v="4"/>
    <x v="3"/>
    <x v="3"/>
    <x v="2"/>
    <n v="821"/>
    <n v="123.15"/>
    <n v="4"/>
  </r>
  <r>
    <n v="1025"/>
    <s v="2025-01-13"/>
    <x v="3"/>
    <x v="1"/>
    <x v="4"/>
    <x v="1"/>
    <n v="460"/>
    <n v="128.80000000000001"/>
    <n v="8"/>
  </r>
  <r>
    <n v="1026"/>
    <s v="2025-06-29"/>
    <x v="2"/>
    <x v="3"/>
    <x v="3"/>
    <x v="2"/>
    <n v="517"/>
    <n v="87.89"/>
    <n v="5"/>
  </r>
  <r>
    <n v="1027"/>
    <s v="2025-07-03"/>
    <x v="1"/>
    <x v="1"/>
    <x v="1"/>
    <x v="1"/>
    <n v="120"/>
    <n v="24"/>
    <n v="7"/>
  </r>
  <r>
    <n v="1028"/>
    <s v="2025-10-02"/>
    <x v="9"/>
    <x v="0"/>
    <x v="3"/>
    <x v="2"/>
    <n v="1444"/>
    <n v="173.28"/>
    <n v="7"/>
  </r>
  <r>
    <n v="1029"/>
    <s v="2025-03-15"/>
    <x v="0"/>
    <x v="2"/>
    <x v="1"/>
    <x v="1"/>
    <n v="376"/>
    <n v="37.6"/>
    <n v="3"/>
  </r>
  <r>
    <n v="1030"/>
    <s v="2025-06-21"/>
    <x v="2"/>
    <x v="3"/>
    <x v="0"/>
    <x v="0"/>
    <n v="1247"/>
    <n v="74.819999999999993"/>
    <n v="2"/>
  </r>
  <r>
    <n v="1031"/>
    <s v="2025-06-01"/>
    <x v="2"/>
    <x v="0"/>
    <x v="4"/>
    <x v="1"/>
    <n v="382"/>
    <n v="19.100000000000001"/>
    <n v="7"/>
  </r>
  <r>
    <n v="1032"/>
    <s v="2025-02-01"/>
    <x v="4"/>
    <x v="3"/>
    <x v="5"/>
    <x v="0"/>
    <n v="1384"/>
    <n v="346"/>
    <n v="4"/>
  </r>
  <r>
    <n v="1033"/>
    <s v="2025-10-15"/>
    <x v="9"/>
    <x v="0"/>
    <x v="3"/>
    <x v="2"/>
    <n v="942"/>
    <n v="94.2"/>
    <n v="5"/>
  </r>
  <r>
    <n v="1034"/>
    <s v="2025-04-24"/>
    <x v="10"/>
    <x v="2"/>
    <x v="5"/>
    <x v="0"/>
    <n v="190"/>
    <n v="49.4"/>
    <n v="5"/>
  </r>
  <r>
    <n v="1035"/>
    <s v="2025-12-24"/>
    <x v="6"/>
    <x v="1"/>
    <x v="3"/>
    <x v="2"/>
    <n v="844"/>
    <n v="236.32"/>
    <n v="1"/>
  </r>
  <r>
    <n v="1036"/>
    <s v="2025-12-13"/>
    <x v="6"/>
    <x v="1"/>
    <x v="5"/>
    <x v="0"/>
    <n v="1044"/>
    <n v="229.68"/>
    <n v="3"/>
  </r>
  <r>
    <n v="1037"/>
    <s v="2025-06-24"/>
    <x v="2"/>
    <x v="0"/>
    <x v="5"/>
    <x v="0"/>
    <n v="28"/>
    <n v="3.08"/>
    <n v="4"/>
  </r>
  <r>
    <n v="1038"/>
    <s v="2025-03-07"/>
    <x v="0"/>
    <x v="3"/>
    <x v="5"/>
    <x v="0"/>
    <n v="1312"/>
    <n v="183.68"/>
    <n v="6"/>
  </r>
  <r>
    <n v="1039"/>
    <s v="2025-03-25"/>
    <x v="0"/>
    <x v="2"/>
    <x v="4"/>
    <x v="1"/>
    <n v="997"/>
    <n v="239.28"/>
    <n v="6"/>
  </r>
  <r>
    <n v="1040"/>
    <s v="2025-06-07"/>
    <x v="2"/>
    <x v="2"/>
    <x v="2"/>
    <x v="2"/>
    <n v="1338"/>
    <n v="334.5"/>
    <n v="1"/>
  </r>
  <r>
    <n v="1041"/>
    <s v="2025-07-22"/>
    <x v="1"/>
    <x v="3"/>
    <x v="3"/>
    <x v="2"/>
    <n v="107"/>
    <n v="16.05"/>
    <n v="2"/>
  </r>
  <r>
    <n v="1042"/>
    <s v="2025-01-03"/>
    <x v="3"/>
    <x v="1"/>
    <x v="3"/>
    <x v="2"/>
    <n v="613"/>
    <n v="134.86000000000001"/>
    <n v="4"/>
  </r>
  <r>
    <n v="1043"/>
    <s v="2025-09-10"/>
    <x v="7"/>
    <x v="0"/>
    <x v="3"/>
    <x v="2"/>
    <n v="1047"/>
    <n v="282.69"/>
    <n v="7"/>
  </r>
  <r>
    <n v="1044"/>
    <s v="2025-08-21"/>
    <x v="8"/>
    <x v="0"/>
    <x v="5"/>
    <x v="0"/>
    <n v="247"/>
    <n v="14.82"/>
    <n v="10"/>
  </r>
  <r>
    <n v="1045"/>
    <s v="2025-03-17"/>
    <x v="0"/>
    <x v="1"/>
    <x v="5"/>
    <x v="0"/>
    <n v="712"/>
    <n v="121.04"/>
    <n v="7"/>
  </r>
  <r>
    <n v="1046"/>
    <s v="2025-11-23"/>
    <x v="5"/>
    <x v="0"/>
    <x v="0"/>
    <x v="0"/>
    <n v="1425"/>
    <n v="228"/>
    <n v="5"/>
  </r>
  <r>
    <n v="1047"/>
    <s v="2025-08-24"/>
    <x v="8"/>
    <x v="0"/>
    <x v="1"/>
    <x v="1"/>
    <n v="79"/>
    <n v="4.74"/>
    <n v="8"/>
  </r>
  <r>
    <n v="1048"/>
    <s v="2025-09-26"/>
    <x v="7"/>
    <x v="1"/>
    <x v="5"/>
    <x v="0"/>
    <n v="130"/>
    <n v="19.5"/>
    <n v="10"/>
  </r>
  <r>
    <n v="1049"/>
    <s v="2025-03-21"/>
    <x v="0"/>
    <x v="3"/>
    <x v="4"/>
    <x v="1"/>
    <n v="1306"/>
    <n v="182.84"/>
    <n v="6"/>
  </r>
  <r>
    <n v="1050"/>
    <s v="2025-01-14"/>
    <x v="3"/>
    <x v="2"/>
    <x v="4"/>
    <x v="1"/>
    <n v="969"/>
    <n v="125.97"/>
    <n v="2"/>
  </r>
  <r>
    <n v="1051"/>
    <s v="2025-04-18"/>
    <x v="10"/>
    <x v="3"/>
    <x v="4"/>
    <x v="1"/>
    <n v="53"/>
    <n v="3.18"/>
    <n v="2"/>
  </r>
  <r>
    <n v="1052"/>
    <s v="2025-03-27"/>
    <x v="0"/>
    <x v="3"/>
    <x v="2"/>
    <x v="2"/>
    <n v="1361"/>
    <n v="285.81"/>
    <n v="1"/>
  </r>
  <r>
    <n v="1053"/>
    <s v="2025-01-16"/>
    <x v="3"/>
    <x v="2"/>
    <x v="4"/>
    <x v="1"/>
    <n v="809"/>
    <n v="88.99"/>
    <n v="7"/>
  </r>
  <r>
    <n v="1054"/>
    <s v="2025-02-22"/>
    <x v="4"/>
    <x v="2"/>
    <x v="2"/>
    <x v="2"/>
    <n v="390"/>
    <n v="58.5"/>
    <n v="7"/>
  </r>
  <r>
    <n v="1055"/>
    <s v="2025-02-23"/>
    <x v="4"/>
    <x v="0"/>
    <x v="4"/>
    <x v="1"/>
    <n v="691"/>
    <n v="172.75"/>
    <n v="5"/>
  </r>
  <r>
    <n v="1056"/>
    <s v="2025-08-31"/>
    <x v="8"/>
    <x v="3"/>
    <x v="3"/>
    <x v="2"/>
    <n v="1258"/>
    <n v="125.8"/>
    <n v="2"/>
  </r>
  <r>
    <n v="1057"/>
    <s v="2025-09-02"/>
    <x v="7"/>
    <x v="0"/>
    <x v="5"/>
    <x v="0"/>
    <n v="1137"/>
    <n v="329.73"/>
    <n v="8"/>
  </r>
  <r>
    <n v="1058"/>
    <s v="2025-03-23"/>
    <x v="0"/>
    <x v="2"/>
    <x v="2"/>
    <x v="2"/>
    <n v="1125"/>
    <n v="135"/>
    <n v="4"/>
  </r>
  <r>
    <n v="1059"/>
    <s v="2025-06-28"/>
    <x v="2"/>
    <x v="2"/>
    <x v="0"/>
    <x v="0"/>
    <n v="1403"/>
    <n v="210.45"/>
    <n v="7"/>
  </r>
  <r>
    <n v="1060"/>
    <s v="2025-08-10"/>
    <x v="8"/>
    <x v="2"/>
    <x v="1"/>
    <x v="1"/>
    <n v="1178"/>
    <n v="341.62"/>
    <n v="7"/>
  </r>
  <r>
    <n v="1061"/>
    <s v="2025-05-03"/>
    <x v="11"/>
    <x v="0"/>
    <x v="4"/>
    <x v="1"/>
    <n v="1132"/>
    <n v="169.8"/>
    <n v="2"/>
  </r>
  <r>
    <n v="1062"/>
    <s v="2025-03-26"/>
    <x v="0"/>
    <x v="2"/>
    <x v="2"/>
    <x v="2"/>
    <n v="118"/>
    <n v="15.34"/>
    <n v="3"/>
  </r>
  <r>
    <n v="1063"/>
    <s v="2025-09-28"/>
    <x v="7"/>
    <x v="2"/>
    <x v="0"/>
    <x v="0"/>
    <n v="1065"/>
    <n v="85.2"/>
    <n v="9"/>
  </r>
  <r>
    <n v="1064"/>
    <s v="2025-12-31"/>
    <x v="6"/>
    <x v="0"/>
    <x v="2"/>
    <x v="2"/>
    <n v="629"/>
    <n v="69.19"/>
    <n v="4"/>
  </r>
  <r>
    <n v="1065"/>
    <s v="2025-09-17"/>
    <x v="7"/>
    <x v="1"/>
    <x v="1"/>
    <x v="1"/>
    <n v="1072"/>
    <n v="235.84"/>
    <n v="2"/>
  </r>
  <r>
    <n v="1066"/>
    <s v="2025-03-05"/>
    <x v="0"/>
    <x v="0"/>
    <x v="1"/>
    <x v="1"/>
    <n v="211"/>
    <n v="12.66"/>
    <n v="5"/>
  </r>
  <r>
    <n v="1067"/>
    <s v="2025-08-18"/>
    <x v="8"/>
    <x v="2"/>
    <x v="2"/>
    <x v="2"/>
    <n v="1359"/>
    <n v="353.34"/>
    <n v="1"/>
  </r>
  <r>
    <n v="1068"/>
    <s v="2025-07-19"/>
    <x v="1"/>
    <x v="1"/>
    <x v="3"/>
    <x v="2"/>
    <n v="196"/>
    <n v="23.52"/>
    <n v="1"/>
  </r>
  <r>
    <n v="1069"/>
    <s v="2025-11-19"/>
    <x v="5"/>
    <x v="1"/>
    <x v="4"/>
    <x v="1"/>
    <n v="916"/>
    <n v="192.36"/>
    <n v="2"/>
  </r>
  <r>
    <n v="1070"/>
    <s v="2025-06-05"/>
    <x v="2"/>
    <x v="1"/>
    <x v="2"/>
    <x v="2"/>
    <n v="452"/>
    <n v="103.96"/>
    <n v="5"/>
  </r>
  <r>
    <n v="1071"/>
    <s v="2025-11-26"/>
    <x v="5"/>
    <x v="0"/>
    <x v="0"/>
    <x v="0"/>
    <n v="1384"/>
    <n v="318.32"/>
    <n v="7"/>
  </r>
  <r>
    <n v="1072"/>
    <s v="2025-12-31"/>
    <x v="6"/>
    <x v="3"/>
    <x v="2"/>
    <x v="2"/>
    <n v="1091"/>
    <n v="87.28"/>
    <n v="3"/>
  </r>
  <r>
    <n v="1073"/>
    <s v="2025-06-20"/>
    <x v="2"/>
    <x v="3"/>
    <x v="2"/>
    <x v="2"/>
    <n v="1283"/>
    <n v="243.77"/>
    <n v="2"/>
  </r>
  <r>
    <n v="1074"/>
    <s v="2025-01-22"/>
    <x v="3"/>
    <x v="1"/>
    <x v="4"/>
    <x v="1"/>
    <n v="666"/>
    <n v="193.14"/>
    <n v="8"/>
  </r>
  <r>
    <n v="1075"/>
    <s v="2025-01-26"/>
    <x v="3"/>
    <x v="2"/>
    <x v="3"/>
    <x v="2"/>
    <n v="903"/>
    <n v="72.239999999999995"/>
    <n v="4"/>
  </r>
  <r>
    <n v="1076"/>
    <s v="2025-12-20"/>
    <x v="6"/>
    <x v="0"/>
    <x v="5"/>
    <x v="0"/>
    <n v="1142"/>
    <n v="285.5"/>
    <n v="8"/>
  </r>
  <r>
    <n v="1077"/>
    <s v="2025-03-18"/>
    <x v="0"/>
    <x v="1"/>
    <x v="1"/>
    <x v="1"/>
    <n v="753"/>
    <n v="67.77"/>
    <n v="3"/>
  </r>
  <r>
    <n v="1078"/>
    <s v="2025-04-20"/>
    <x v="10"/>
    <x v="1"/>
    <x v="5"/>
    <x v="0"/>
    <n v="991"/>
    <n v="99.1"/>
    <n v="7"/>
  </r>
  <r>
    <n v="1079"/>
    <s v="2025-09-18"/>
    <x v="7"/>
    <x v="3"/>
    <x v="0"/>
    <x v="0"/>
    <n v="973"/>
    <n v="136.22"/>
    <n v="1"/>
  </r>
  <r>
    <n v="1080"/>
    <s v="2025-09-30"/>
    <x v="7"/>
    <x v="0"/>
    <x v="4"/>
    <x v="1"/>
    <n v="1115"/>
    <n v="211.85"/>
    <n v="9"/>
  </r>
  <r>
    <n v="1081"/>
    <s v="2025-12-01"/>
    <x v="6"/>
    <x v="0"/>
    <x v="1"/>
    <x v="1"/>
    <n v="1465"/>
    <n v="146.5"/>
    <n v="6"/>
  </r>
  <r>
    <n v="1082"/>
    <s v="2025-08-14"/>
    <x v="8"/>
    <x v="3"/>
    <x v="2"/>
    <x v="2"/>
    <n v="1366"/>
    <n v="218.56"/>
    <n v="9"/>
  </r>
  <r>
    <n v="1083"/>
    <s v="2025-01-25"/>
    <x v="3"/>
    <x v="1"/>
    <x v="1"/>
    <x v="1"/>
    <n v="1031"/>
    <n v="92.79"/>
    <n v="4"/>
  </r>
  <r>
    <n v="1084"/>
    <s v="2025-07-11"/>
    <x v="1"/>
    <x v="2"/>
    <x v="2"/>
    <x v="2"/>
    <n v="739"/>
    <n v="88.68"/>
    <n v="3"/>
  </r>
  <r>
    <n v="1085"/>
    <s v="2025-11-19"/>
    <x v="5"/>
    <x v="2"/>
    <x v="1"/>
    <x v="1"/>
    <n v="945"/>
    <n v="132.30000000000001"/>
    <n v="6"/>
  </r>
  <r>
    <n v="1086"/>
    <s v="2025-03-20"/>
    <x v="0"/>
    <x v="2"/>
    <x v="3"/>
    <x v="2"/>
    <n v="1429"/>
    <n v="85.74"/>
    <n v="6"/>
  </r>
  <r>
    <n v="1087"/>
    <s v="2025-02-01"/>
    <x v="4"/>
    <x v="1"/>
    <x v="5"/>
    <x v="0"/>
    <n v="552"/>
    <n v="132.47999999999999"/>
    <n v="2"/>
  </r>
  <r>
    <n v="1088"/>
    <s v="2025-03-14"/>
    <x v="0"/>
    <x v="1"/>
    <x v="1"/>
    <x v="1"/>
    <n v="1453"/>
    <n v="87.18"/>
    <n v="7"/>
  </r>
  <r>
    <n v="1089"/>
    <s v="2025-12-29"/>
    <x v="6"/>
    <x v="3"/>
    <x v="3"/>
    <x v="2"/>
    <n v="1133"/>
    <n v="226.6"/>
    <n v="7"/>
  </r>
  <r>
    <n v="1090"/>
    <s v="2025-08-22"/>
    <x v="8"/>
    <x v="3"/>
    <x v="2"/>
    <x v="2"/>
    <n v="87"/>
    <n v="20.010000000000002"/>
    <n v="7"/>
  </r>
  <r>
    <n v="1091"/>
    <s v="2025-09-15"/>
    <x v="7"/>
    <x v="3"/>
    <x v="3"/>
    <x v="2"/>
    <n v="898"/>
    <n v="269.39999999999998"/>
    <n v="9"/>
  </r>
  <r>
    <n v="1092"/>
    <s v="2025-10-20"/>
    <x v="9"/>
    <x v="3"/>
    <x v="3"/>
    <x v="2"/>
    <n v="180"/>
    <n v="39.6"/>
    <n v="6"/>
  </r>
  <r>
    <n v="1093"/>
    <s v="2025-09-13"/>
    <x v="7"/>
    <x v="3"/>
    <x v="5"/>
    <x v="0"/>
    <n v="1476"/>
    <n v="177.12"/>
    <n v="3"/>
  </r>
  <r>
    <n v="1094"/>
    <s v="2025-12-19"/>
    <x v="6"/>
    <x v="2"/>
    <x v="2"/>
    <x v="2"/>
    <n v="190"/>
    <n v="34.200000000000003"/>
    <n v="9"/>
  </r>
  <r>
    <n v="1095"/>
    <s v="2025-11-18"/>
    <x v="5"/>
    <x v="3"/>
    <x v="0"/>
    <x v="0"/>
    <n v="1081"/>
    <n v="75.67"/>
    <n v="7"/>
  </r>
  <r>
    <n v="1096"/>
    <s v="2025-05-23"/>
    <x v="11"/>
    <x v="2"/>
    <x v="4"/>
    <x v="1"/>
    <n v="1105"/>
    <n v="132.6"/>
    <n v="5"/>
  </r>
  <r>
    <n v="1097"/>
    <s v="2025-09-23"/>
    <x v="7"/>
    <x v="3"/>
    <x v="2"/>
    <x v="2"/>
    <n v="1121"/>
    <n v="325.08999999999997"/>
    <n v="1"/>
  </r>
  <r>
    <n v="1098"/>
    <s v="2025-02-16"/>
    <x v="4"/>
    <x v="1"/>
    <x v="5"/>
    <x v="0"/>
    <n v="1387"/>
    <n v="360.62"/>
    <n v="1"/>
  </r>
  <r>
    <n v="1099"/>
    <s v="2025-10-18"/>
    <x v="9"/>
    <x v="0"/>
    <x v="5"/>
    <x v="0"/>
    <n v="1450"/>
    <n v="145"/>
    <n v="6"/>
  </r>
  <r>
    <n v="1100"/>
    <s v="2025-11-18"/>
    <x v="5"/>
    <x v="3"/>
    <x v="4"/>
    <x v="1"/>
    <n v="1115"/>
    <n v="256.45"/>
    <n v="6"/>
  </r>
  <r>
    <n v="1101"/>
    <s v="2025-12-06"/>
    <x v="6"/>
    <x v="2"/>
    <x v="3"/>
    <x v="2"/>
    <n v="854"/>
    <n v="179.34"/>
    <n v="1"/>
  </r>
  <r>
    <n v="1102"/>
    <s v="2025-09-03"/>
    <x v="7"/>
    <x v="1"/>
    <x v="2"/>
    <x v="2"/>
    <n v="1380"/>
    <n v="372.6"/>
    <n v="10"/>
  </r>
  <r>
    <n v="1103"/>
    <s v="2025-07-12"/>
    <x v="1"/>
    <x v="3"/>
    <x v="3"/>
    <x v="2"/>
    <n v="1288"/>
    <n v="373.52"/>
    <n v="4"/>
  </r>
  <r>
    <n v="1104"/>
    <s v="2025-10-23"/>
    <x v="9"/>
    <x v="2"/>
    <x v="1"/>
    <x v="1"/>
    <n v="274"/>
    <n v="27.4"/>
    <n v="4"/>
  </r>
  <r>
    <n v="1105"/>
    <s v="2025-05-09"/>
    <x v="11"/>
    <x v="2"/>
    <x v="4"/>
    <x v="1"/>
    <n v="1432"/>
    <n v="272.08"/>
    <n v="6"/>
  </r>
  <r>
    <n v="1106"/>
    <s v="2025-12-09"/>
    <x v="6"/>
    <x v="2"/>
    <x v="4"/>
    <x v="1"/>
    <n v="209"/>
    <n v="43.89"/>
    <n v="1"/>
  </r>
  <r>
    <n v="1107"/>
    <s v="2025-08-06"/>
    <x v="8"/>
    <x v="2"/>
    <x v="3"/>
    <x v="2"/>
    <n v="940"/>
    <n v="188"/>
    <n v="5"/>
  </r>
  <r>
    <n v="1108"/>
    <s v="2025-03-06"/>
    <x v="0"/>
    <x v="2"/>
    <x v="1"/>
    <x v="1"/>
    <n v="876"/>
    <n v="113.88"/>
    <n v="9"/>
  </r>
  <r>
    <n v="1109"/>
    <s v="2025-11-23"/>
    <x v="5"/>
    <x v="0"/>
    <x v="1"/>
    <x v="1"/>
    <n v="1304"/>
    <n v="130.4"/>
    <n v="10"/>
  </r>
  <r>
    <n v="1110"/>
    <s v="2025-09-23"/>
    <x v="7"/>
    <x v="3"/>
    <x v="4"/>
    <x v="1"/>
    <n v="416"/>
    <n v="95.68"/>
    <n v="3"/>
  </r>
  <r>
    <n v="1111"/>
    <s v="2025-02-22"/>
    <x v="4"/>
    <x v="0"/>
    <x v="3"/>
    <x v="2"/>
    <n v="479"/>
    <n v="57.48"/>
    <n v="8"/>
  </r>
  <r>
    <n v="1112"/>
    <s v="2025-01-30"/>
    <x v="3"/>
    <x v="1"/>
    <x v="1"/>
    <x v="1"/>
    <n v="252"/>
    <n v="15.12"/>
    <n v="5"/>
  </r>
  <r>
    <n v="1113"/>
    <s v="2025-04-05"/>
    <x v="10"/>
    <x v="3"/>
    <x v="3"/>
    <x v="2"/>
    <n v="158"/>
    <n v="9.48"/>
    <n v="9"/>
  </r>
  <r>
    <n v="1114"/>
    <s v="2025-07-19"/>
    <x v="1"/>
    <x v="2"/>
    <x v="4"/>
    <x v="1"/>
    <n v="1271"/>
    <n v="305.04000000000002"/>
    <n v="5"/>
  </r>
  <r>
    <n v="1115"/>
    <s v="2025-02-16"/>
    <x v="4"/>
    <x v="3"/>
    <x v="4"/>
    <x v="1"/>
    <n v="767"/>
    <n v="76.7"/>
    <n v="9"/>
  </r>
  <r>
    <n v="1116"/>
    <s v="2025-02-22"/>
    <x v="4"/>
    <x v="1"/>
    <x v="0"/>
    <x v="0"/>
    <n v="687"/>
    <n v="89.31"/>
    <n v="8"/>
  </r>
  <r>
    <n v="1117"/>
    <s v="2025-04-06"/>
    <x v="10"/>
    <x v="2"/>
    <x v="3"/>
    <x v="2"/>
    <n v="155"/>
    <n v="34.1"/>
    <n v="2"/>
  </r>
  <r>
    <n v="1118"/>
    <s v="2025-03-29"/>
    <x v="0"/>
    <x v="2"/>
    <x v="1"/>
    <x v="1"/>
    <n v="153"/>
    <n v="15.3"/>
    <n v="10"/>
  </r>
  <r>
    <n v="1119"/>
    <s v="2025-12-25"/>
    <x v="6"/>
    <x v="2"/>
    <x v="3"/>
    <x v="2"/>
    <n v="733"/>
    <n v="117.28"/>
    <n v="2"/>
  </r>
  <r>
    <n v="1120"/>
    <s v="2025-12-09"/>
    <x v="6"/>
    <x v="0"/>
    <x v="1"/>
    <x v="1"/>
    <n v="1202"/>
    <n v="264.44"/>
    <n v="6"/>
  </r>
  <r>
    <n v="1121"/>
    <s v="2025-10-07"/>
    <x v="9"/>
    <x v="0"/>
    <x v="4"/>
    <x v="1"/>
    <n v="231"/>
    <n v="23.1"/>
    <n v="7"/>
  </r>
  <r>
    <n v="1122"/>
    <s v="2025-09-30"/>
    <x v="7"/>
    <x v="2"/>
    <x v="4"/>
    <x v="1"/>
    <n v="1344"/>
    <n v="309.12"/>
    <n v="6"/>
  </r>
  <r>
    <n v="1123"/>
    <s v="2025-05-24"/>
    <x v="11"/>
    <x v="1"/>
    <x v="4"/>
    <x v="1"/>
    <n v="578"/>
    <n v="161.84"/>
    <n v="1"/>
  </r>
  <r>
    <n v="1124"/>
    <s v="2025-02-16"/>
    <x v="4"/>
    <x v="3"/>
    <x v="1"/>
    <x v="1"/>
    <n v="1121"/>
    <n v="67.260000000000005"/>
    <n v="10"/>
  </r>
  <r>
    <n v="1125"/>
    <s v="2025-12-04"/>
    <x v="6"/>
    <x v="3"/>
    <x v="0"/>
    <x v="0"/>
    <n v="1237"/>
    <n v="259.77"/>
    <n v="2"/>
  </r>
  <r>
    <n v="1126"/>
    <s v="2025-02-12"/>
    <x v="4"/>
    <x v="3"/>
    <x v="5"/>
    <x v="0"/>
    <n v="471"/>
    <n v="122.46"/>
    <n v="8"/>
  </r>
  <r>
    <n v="1127"/>
    <s v="2025-09-08"/>
    <x v="7"/>
    <x v="3"/>
    <x v="2"/>
    <x v="2"/>
    <n v="913"/>
    <n v="182.6"/>
    <n v="9"/>
  </r>
  <r>
    <n v="1128"/>
    <s v="2025-09-05"/>
    <x v="7"/>
    <x v="1"/>
    <x v="4"/>
    <x v="1"/>
    <n v="1044"/>
    <n v="177.48"/>
    <n v="5"/>
  </r>
  <r>
    <n v="1129"/>
    <s v="2025-02-28"/>
    <x v="4"/>
    <x v="2"/>
    <x v="3"/>
    <x v="2"/>
    <n v="302"/>
    <n v="51.34"/>
    <n v="1"/>
  </r>
  <r>
    <n v="1130"/>
    <s v="2025-06-16"/>
    <x v="2"/>
    <x v="3"/>
    <x v="1"/>
    <x v="1"/>
    <n v="759"/>
    <n v="68.31"/>
    <n v="5"/>
  </r>
  <r>
    <n v="1131"/>
    <s v="2025-01-03"/>
    <x v="3"/>
    <x v="2"/>
    <x v="1"/>
    <x v="1"/>
    <n v="955"/>
    <n v="200.55"/>
    <n v="4"/>
  </r>
  <r>
    <n v="1132"/>
    <s v="2025-04-16"/>
    <x v="10"/>
    <x v="0"/>
    <x v="4"/>
    <x v="1"/>
    <n v="488"/>
    <n v="126.88"/>
    <n v="3"/>
  </r>
  <r>
    <n v="1133"/>
    <s v="2025-11-27"/>
    <x v="5"/>
    <x v="3"/>
    <x v="3"/>
    <x v="2"/>
    <n v="1207"/>
    <n v="60.35"/>
    <n v="7"/>
  </r>
  <r>
    <n v="1134"/>
    <s v="2025-07-04"/>
    <x v="1"/>
    <x v="3"/>
    <x v="2"/>
    <x v="2"/>
    <n v="939"/>
    <n v="131.46"/>
    <n v="2"/>
  </r>
  <r>
    <n v="1135"/>
    <s v="2025-04-27"/>
    <x v="10"/>
    <x v="0"/>
    <x v="4"/>
    <x v="1"/>
    <n v="520"/>
    <n v="119.6"/>
    <n v="2"/>
  </r>
  <r>
    <n v="1136"/>
    <s v="2025-01-09"/>
    <x v="3"/>
    <x v="2"/>
    <x v="1"/>
    <x v="1"/>
    <n v="1003"/>
    <n v="160.47999999999999"/>
    <n v="5"/>
  </r>
  <r>
    <n v="1137"/>
    <s v="2025-05-01"/>
    <x v="11"/>
    <x v="2"/>
    <x v="1"/>
    <x v="1"/>
    <n v="309"/>
    <n v="86.52"/>
    <n v="2"/>
  </r>
  <r>
    <n v="1138"/>
    <s v="2025-03-23"/>
    <x v="0"/>
    <x v="1"/>
    <x v="4"/>
    <x v="1"/>
    <n v="743"/>
    <n v="185.75"/>
    <n v="2"/>
  </r>
  <r>
    <n v="1139"/>
    <s v="2025-08-13"/>
    <x v="8"/>
    <x v="3"/>
    <x v="5"/>
    <x v="0"/>
    <n v="155"/>
    <n v="44.95"/>
    <n v="1"/>
  </r>
  <r>
    <n v="1140"/>
    <s v="2025-09-01"/>
    <x v="7"/>
    <x v="0"/>
    <x v="1"/>
    <x v="1"/>
    <n v="437"/>
    <n v="96.14"/>
    <n v="1"/>
  </r>
  <r>
    <n v="1141"/>
    <s v="2025-03-14"/>
    <x v="0"/>
    <x v="0"/>
    <x v="5"/>
    <x v="0"/>
    <n v="1083"/>
    <n v="314.07"/>
    <n v="5"/>
  </r>
  <r>
    <n v="1142"/>
    <s v="2025-05-04"/>
    <x v="11"/>
    <x v="2"/>
    <x v="0"/>
    <x v="0"/>
    <n v="72"/>
    <n v="3.6"/>
    <n v="9"/>
  </r>
  <r>
    <n v="1143"/>
    <s v="2025-10-25"/>
    <x v="9"/>
    <x v="1"/>
    <x v="1"/>
    <x v="1"/>
    <n v="233"/>
    <n v="67.569999999999993"/>
    <n v="2"/>
  </r>
  <r>
    <n v="1144"/>
    <s v="2025-12-23"/>
    <x v="6"/>
    <x v="1"/>
    <x v="1"/>
    <x v="1"/>
    <n v="1051"/>
    <n v="52.55"/>
    <n v="10"/>
  </r>
  <r>
    <n v="1145"/>
    <s v="2025-11-14"/>
    <x v="5"/>
    <x v="1"/>
    <x v="1"/>
    <x v="1"/>
    <n v="477"/>
    <n v="28.62"/>
    <n v="5"/>
  </r>
  <r>
    <n v="1146"/>
    <s v="2025-11-26"/>
    <x v="5"/>
    <x v="1"/>
    <x v="4"/>
    <x v="1"/>
    <n v="608"/>
    <n v="91.2"/>
    <n v="8"/>
  </r>
  <r>
    <n v="1147"/>
    <s v="2025-08-22"/>
    <x v="8"/>
    <x v="0"/>
    <x v="1"/>
    <x v="1"/>
    <n v="366"/>
    <n v="51.24"/>
    <n v="2"/>
  </r>
  <r>
    <n v="1148"/>
    <s v="2025-10-29"/>
    <x v="9"/>
    <x v="3"/>
    <x v="1"/>
    <x v="1"/>
    <n v="894"/>
    <n v="223.5"/>
    <n v="1"/>
  </r>
  <r>
    <n v="1149"/>
    <s v="2025-07-26"/>
    <x v="1"/>
    <x v="2"/>
    <x v="1"/>
    <x v="1"/>
    <n v="1399"/>
    <n v="349.75"/>
    <n v="10"/>
  </r>
  <r>
    <n v="1150"/>
    <s v="2025-03-01"/>
    <x v="0"/>
    <x v="0"/>
    <x v="3"/>
    <x v="2"/>
    <n v="1300"/>
    <n v="221"/>
    <n v="3"/>
  </r>
  <r>
    <n v="1151"/>
    <s v="2025-07-04"/>
    <x v="1"/>
    <x v="3"/>
    <x v="1"/>
    <x v="1"/>
    <n v="641"/>
    <n v="83.33"/>
    <n v="5"/>
  </r>
  <r>
    <n v="1152"/>
    <s v="2025-11-07"/>
    <x v="5"/>
    <x v="3"/>
    <x v="1"/>
    <x v="1"/>
    <n v="37"/>
    <n v="11.1"/>
    <n v="2"/>
  </r>
  <r>
    <n v="1153"/>
    <s v="2025-10-16"/>
    <x v="9"/>
    <x v="2"/>
    <x v="3"/>
    <x v="2"/>
    <n v="763"/>
    <n v="129.71"/>
    <n v="7"/>
  </r>
  <r>
    <n v="1154"/>
    <s v="2025-10-27"/>
    <x v="9"/>
    <x v="3"/>
    <x v="5"/>
    <x v="0"/>
    <n v="90"/>
    <n v="26.1"/>
    <n v="2"/>
  </r>
  <r>
    <n v="1155"/>
    <s v="2025-05-26"/>
    <x v="11"/>
    <x v="1"/>
    <x v="0"/>
    <x v="0"/>
    <n v="912"/>
    <n v="182.4"/>
    <n v="10"/>
  </r>
  <r>
    <n v="1156"/>
    <s v="2025-10-08"/>
    <x v="9"/>
    <x v="2"/>
    <x v="0"/>
    <x v="0"/>
    <n v="407"/>
    <n v="40.700000000000003"/>
    <n v="10"/>
  </r>
  <r>
    <n v="1157"/>
    <s v="2025-03-20"/>
    <x v="0"/>
    <x v="3"/>
    <x v="0"/>
    <x v="0"/>
    <n v="1257"/>
    <n v="226.26"/>
    <n v="4"/>
  </r>
  <r>
    <n v="1158"/>
    <s v="2025-02-28"/>
    <x v="4"/>
    <x v="0"/>
    <x v="4"/>
    <x v="1"/>
    <n v="951"/>
    <n v="161.66999999999999"/>
    <n v="4"/>
  </r>
  <r>
    <n v="1159"/>
    <s v="2025-10-26"/>
    <x v="9"/>
    <x v="1"/>
    <x v="5"/>
    <x v="0"/>
    <n v="429"/>
    <n v="98.67"/>
    <n v="10"/>
  </r>
  <r>
    <n v="1160"/>
    <s v="2025-01-25"/>
    <x v="3"/>
    <x v="0"/>
    <x v="5"/>
    <x v="0"/>
    <n v="1472"/>
    <n v="206.08"/>
    <n v="8"/>
  </r>
  <r>
    <n v="1161"/>
    <s v="2025-09-03"/>
    <x v="7"/>
    <x v="0"/>
    <x v="2"/>
    <x v="2"/>
    <n v="1064"/>
    <n v="138.32"/>
    <n v="1"/>
  </r>
  <r>
    <n v="1162"/>
    <s v="2025-09-09"/>
    <x v="7"/>
    <x v="0"/>
    <x v="0"/>
    <x v="0"/>
    <n v="1494"/>
    <n v="298.8"/>
    <n v="7"/>
  </r>
  <r>
    <n v="1163"/>
    <s v="2025-03-31"/>
    <x v="0"/>
    <x v="1"/>
    <x v="1"/>
    <x v="1"/>
    <n v="1001"/>
    <n v="150.15"/>
    <n v="10"/>
  </r>
  <r>
    <n v="1164"/>
    <s v="2025-02-14"/>
    <x v="4"/>
    <x v="1"/>
    <x v="3"/>
    <x v="2"/>
    <n v="1418"/>
    <n v="269.42"/>
    <n v="8"/>
  </r>
  <r>
    <n v="1165"/>
    <s v="2025-05-05"/>
    <x v="11"/>
    <x v="0"/>
    <x v="3"/>
    <x v="2"/>
    <n v="449"/>
    <n v="76.33"/>
    <n v="6"/>
  </r>
  <r>
    <n v="1166"/>
    <s v="2025-04-08"/>
    <x v="10"/>
    <x v="1"/>
    <x v="1"/>
    <x v="1"/>
    <n v="662"/>
    <n v="152.26"/>
    <n v="9"/>
  </r>
  <r>
    <n v="1167"/>
    <s v="2025-03-07"/>
    <x v="0"/>
    <x v="2"/>
    <x v="5"/>
    <x v="0"/>
    <n v="302"/>
    <n v="15.1"/>
    <n v="4"/>
  </r>
  <r>
    <n v="1168"/>
    <s v="2025-01-20"/>
    <x v="3"/>
    <x v="2"/>
    <x v="0"/>
    <x v="0"/>
    <n v="983"/>
    <n v="58.98"/>
    <n v="9"/>
  </r>
  <r>
    <n v="1169"/>
    <s v="2025-10-26"/>
    <x v="9"/>
    <x v="0"/>
    <x v="3"/>
    <x v="2"/>
    <n v="407"/>
    <n v="81.400000000000006"/>
    <n v="3"/>
  </r>
  <r>
    <n v="1170"/>
    <s v="2025-09-15"/>
    <x v="7"/>
    <x v="1"/>
    <x v="5"/>
    <x v="0"/>
    <n v="758"/>
    <n v="68.22"/>
    <n v="9"/>
  </r>
  <r>
    <n v="1171"/>
    <s v="2025-08-01"/>
    <x v="8"/>
    <x v="1"/>
    <x v="0"/>
    <x v="0"/>
    <n v="1135"/>
    <n v="238.35"/>
    <n v="9"/>
  </r>
  <r>
    <n v="1172"/>
    <s v="2025-02-12"/>
    <x v="4"/>
    <x v="0"/>
    <x v="0"/>
    <x v="0"/>
    <n v="850"/>
    <n v="59.5"/>
    <n v="1"/>
  </r>
  <r>
    <n v="1173"/>
    <s v="2025-10-11"/>
    <x v="9"/>
    <x v="0"/>
    <x v="5"/>
    <x v="0"/>
    <n v="530"/>
    <n v="137.80000000000001"/>
    <n v="10"/>
  </r>
  <r>
    <n v="1174"/>
    <s v="2025-03-03"/>
    <x v="0"/>
    <x v="2"/>
    <x v="4"/>
    <x v="1"/>
    <n v="1111"/>
    <n v="322.19"/>
    <n v="3"/>
  </r>
  <r>
    <n v="1175"/>
    <s v="2025-02-28"/>
    <x v="4"/>
    <x v="3"/>
    <x v="2"/>
    <x v="2"/>
    <n v="879"/>
    <n v="114.27"/>
    <n v="3"/>
  </r>
  <r>
    <n v="1176"/>
    <s v="2025-03-10"/>
    <x v="0"/>
    <x v="0"/>
    <x v="2"/>
    <x v="2"/>
    <n v="1016"/>
    <n v="172.72"/>
    <n v="1"/>
  </r>
  <r>
    <n v="1177"/>
    <s v="2025-02-23"/>
    <x v="4"/>
    <x v="0"/>
    <x v="1"/>
    <x v="1"/>
    <n v="1422"/>
    <n v="255.96"/>
    <n v="9"/>
  </r>
  <r>
    <n v="1178"/>
    <s v="2025-03-02"/>
    <x v="0"/>
    <x v="1"/>
    <x v="1"/>
    <x v="1"/>
    <n v="1370"/>
    <n v="232.9"/>
    <n v="10"/>
  </r>
  <r>
    <n v="1179"/>
    <s v="2025-01-26"/>
    <x v="3"/>
    <x v="0"/>
    <x v="3"/>
    <x v="2"/>
    <n v="165"/>
    <n v="23.1"/>
    <n v="9"/>
  </r>
  <r>
    <n v="1180"/>
    <s v="2025-03-28"/>
    <x v="0"/>
    <x v="2"/>
    <x v="5"/>
    <x v="0"/>
    <n v="1183"/>
    <n v="165.62"/>
    <n v="2"/>
  </r>
  <r>
    <n v="1181"/>
    <s v="2025-08-13"/>
    <x v="8"/>
    <x v="1"/>
    <x v="4"/>
    <x v="1"/>
    <n v="140"/>
    <n v="7"/>
    <n v="8"/>
  </r>
  <r>
    <n v="1182"/>
    <s v="2025-03-08"/>
    <x v="0"/>
    <x v="0"/>
    <x v="2"/>
    <x v="2"/>
    <n v="846"/>
    <n v="76.14"/>
    <n v="6"/>
  </r>
  <r>
    <n v="1183"/>
    <s v="2025-07-17"/>
    <x v="1"/>
    <x v="2"/>
    <x v="0"/>
    <x v="0"/>
    <n v="65"/>
    <n v="18.850000000000001"/>
    <n v="4"/>
  </r>
  <r>
    <n v="1184"/>
    <s v="2025-08-03"/>
    <x v="8"/>
    <x v="1"/>
    <x v="5"/>
    <x v="0"/>
    <n v="847"/>
    <n v="110.11"/>
    <n v="4"/>
  </r>
  <r>
    <n v="1185"/>
    <s v="2025-08-01"/>
    <x v="8"/>
    <x v="2"/>
    <x v="0"/>
    <x v="0"/>
    <n v="1287"/>
    <n v="321.75"/>
    <n v="8"/>
  </r>
  <r>
    <n v="1186"/>
    <s v="2025-05-22"/>
    <x v="11"/>
    <x v="0"/>
    <x v="2"/>
    <x v="2"/>
    <n v="129"/>
    <n v="11.61"/>
    <n v="9"/>
  </r>
  <r>
    <n v="1187"/>
    <s v="2025-03-27"/>
    <x v="0"/>
    <x v="2"/>
    <x v="1"/>
    <x v="1"/>
    <n v="631"/>
    <n v="182.99"/>
    <n v="2"/>
  </r>
  <r>
    <n v="1188"/>
    <s v="2025-10-20"/>
    <x v="9"/>
    <x v="0"/>
    <x v="3"/>
    <x v="2"/>
    <n v="1418"/>
    <n v="127.62"/>
    <n v="6"/>
  </r>
  <r>
    <n v="1189"/>
    <s v="2025-06-17"/>
    <x v="2"/>
    <x v="1"/>
    <x v="5"/>
    <x v="0"/>
    <n v="1193"/>
    <n v="95.44"/>
    <n v="2"/>
  </r>
  <r>
    <n v="1190"/>
    <s v="2025-03-23"/>
    <x v="0"/>
    <x v="0"/>
    <x v="5"/>
    <x v="0"/>
    <n v="70"/>
    <n v="8.4"/>
    <n v="5"/>
  </r>
  <r>
    <n v="1191"/>
    <s v="2025-01-01"/>
    <x v="3"/>
    <x v="1"/>
    <x v="3"/>
    <x v="2"/>
    <n v="1327"/>
    <n v="345.02"/>
    <n v="7"/>
  </r>
  <r>
    <n v="1192"/>
    <s v="2025-02-25"/>
    <x v="4"/>
    <x v="0"/>
    <x v="3"/>
    <x v="2"/>
    <n v="1080"/>
    <n v="64.8"/>
    <n v="10"/>
  </r>
  <r>
    <n v="1193"/>
    <s v="2025-08-21"/>
    <x v="8"/>
    <x v="0"/>
    <x v="5"/>
    <x v="0"/>
    <n v="867"/>
    <n v="242.76"/>
    <n v="2"/>
  </r>
  <r>
    <n v="1194"/>
    <s v="2025-12-07"/>
    <x v="6"/>
    <x v="3"/>
    <x v="2"/>
    <x v="2"/>
    <n v="778"/>
    <n v="194.5"/>
    <n v="7"/>
  </r>
  <r>
    <n v="1195"/>
    <s v="2025-07-02"/>
    <x v="1"/>
    <x v="1"/>
    <x v="0"/>
    <x v="0"/>
    <n v="1264"/>
    <n v="353.92"/>
    <n v="3"/>
  </r>
  <r>
    <n v="1196"/>
    <s v="2025-12-06"/>
    <x v="6"/>
    <x v="1"/>
    <x v="2"/>
    <x v="2"/>
    <n v="64"/>
    <n v="10.24"/>
    <n v="1"/>
  </r>
  <r>
    <n v="1197"/>
    <s v="2025-10-14"/>
    <x v="9"/>
    <x v="2"/>
    <x v="0"/>
    <x v="0"/>
    <n v="152"/>
    <n v="19.760000000000002"/>
    <n v="8"/>
  </r>
  <r>
    <n v="1198"/>
    <s v="2025-07-07"/>
    <x v="1"/>
    <x v="0"/>
    <x v="2"/>
    <x v="2"/>
    <n v="289"/>
    <n v="57.8"/>
    <n v="1"/>
  </r>
  <r>
    <n v="1199"/>
    <s v="2025-04-24"/>
    <x v="10"/>
    <x v="0"/>
    <x v="4"/>
    <x v="1"/>
    <n v="1083"/>
    <n v="324.89999999999998"/>
    <n v="3"/>
  </r>
  <r>
    <n v="1200"/>
    <s v="2025-07-19"/>
    <x v="1"/>
    <x v="3"/>
    <x v="0"/>
    <x v="0"/>
    <n v="415"/>
    <n v="107.9"/>
    <n v="7"/>
  </r>
  <r>
    <n v="1201"/>
    <s v="2025-03-01"/>
    <x v="0"/>
    <x v="1"/>
    <x v="5"/>
    <x v="0"/>
    <n v="781"/>
    <n v="124.96"/>
    <n v="2"/>
  </r>
  <r>
    <n v="1202"/>
    <s v="2025-01-12"/>
    <x v="3"/>
    <x v="2"/>
    <x v="4"/>
    <x v="1"/>
    <n v="184"/>
    <n v="40.479999999999997"/>
    <n v="6"/>
  </r>
  <r>
    <n v="1203"/>
    <s v="2025-08-03"/>
    <x v="8"/>
    <x v="0"/>
    <x v="0"/>
    <x v="0"/>
    <n v="1488"/>
    <n v="193.44"/>
    <n v="10"/>
  </r>
  <r>
    <n v="1204"/>
    <s v="2025-07-18"/>
    <x v="1"/>
    <x v="0"/>
    <x v="2"/>
    <x v="2"/>
    <n v="28"/>
    <n v="6.72"/>
    <n v="6"/>
  </r>
  <r>
    <n v="1205"/>
    <s v="2025-07-21"/>
    <x v="1"/>
    <x v="1"/>
    <x v="4"/>
    <x v="1"/>
    <n v="974"/>
    <n v="175.32"/>
    <n v="10"/>
  </r>
  <r>
    <n v="1206"/>
    <s v="2025-05-01"/>
    <x v="11"/>
    <x v="0"/>
    <x v="2"/>
    <x v="2"/>
    <n v="1311"/>
    <n v="222.87"/>
    <n v="10"/>
  </r>
  <r>
    <n v="1207"/>
    <s v="2025-06-27"/>
    <x v="2"/>
    <x v="3"/>
    <x v="3"/>
    <x v="2"/>
    <n v="1257"/>
    <n v="238.83"/>
    <n v="6"/>
  </r>
  <r>
    <n v="1208"/>
    <s v="2025-09-08"/>
    <x v="7"/>
    <x v="1"/>
    <x v="1"/>
    <x v="1"/>
    <n v="732"/>
    <n v="117.12"/>
    <n v="8"/>
  </r>
  <r>
    <n v="1209"/>
    <s v="2025-12-04"/>
    <x v="6"/>
    <x v="2"/>
    <x v="2"/>
    <x v="2"/>
    <n v="194"/>
    <n v="23.28"/>
    <n v="10"/>
  </r>
  <r>
    <n v="1210"/>
    <s v="2025-09-26"/>
    <x v="7"/>
    <x v="3"/>
    <x v="5"/>
    <x v="0"/>
    <n v="1200"/>
    <n v="288"/>
    <n v="4"/>
  </r>
  <r>
    <n v="1211"/>
    <s v="2025-02-20"/>
    <x v="4"/>
    <x v="2"/>
    <x v="3"/>
    <x v="2"/>
    <n v="1416"/>
    <n v="339.84"/>
    <n v="5"/>
  </r>
  <r>
    <n v="1212"/>
    <s v="2025-01-05"/>
    <x v="3"/>
    <x v="1"/>
    <x v="0"/>
    <x v="0"/>
    <n v="619"/>
    <n v="117.61"/>
    <n v="9"/>
  </r>
  <r>
    <n v="1213"/>
    <s v="2025-08-28"/>
    <x v="8"/>
    <x v="3"/>
    <x v="1"/>
    <x v="1"/>
    <n v="525"/>
    <n v="84"/>
    <n v="5"/>
  </r>
  <r>
    <n v="1214"/>
    <s v="2025-05-31"/>
    <x v="11"/>
    <x v="3"/>
    <x v="3"/>
    <x v="2"/>
    <n v="1347"/>
    <n v="188.58"/>
    <n v="3"/>
  </r>
  <r>
    <n v="1215"/>
    <s v="2025-07-29"/>
    <x v="1"/>
    <x v="1"/>
    <x v="5"/>
    <x v="0"/>
    <n v="1427"/>
    <n v="85.62"/>
    <n v="10"/>
  </r>
  <r>
    <n v="1216"/>
    <s v="2025-10-14"/>
    <x v="9"/>
    <x v="3"/>
    <x v="2"/>
    <x v="2"/>
    <n v="447"/>
    <n v="35.76"/>
    <n v="4"/>
  </r>
  <r>
    <n v="1217"/>
    <s v="2025-03-06"/>
    <x v="0"/>
    <x v="0"/>
    <x v="1"/>
    <x v="1"/>
    <n v="212"/>
    <n v="10.6"/>
    <n v="7"/>
  </r>
  <r>
    <n v="1218"/>
    <s v="2025-02-12"/>
    <x v="4"/>
    <x v="2"/>
    <x v="0"/>
    <x v="0"/>
    <n v="307"/>
    <n v="18.420000000000002"/>
    <n v="7"/>
  </r>
  <r>
    <n v="1219"/>
    <s v="2025-10-11"/>
    <x v="9"/>
    <x v="0"/>
    <x v="5"/>
    <x v="0"/>
    <n v="83"/>
    <n v="14.94"/>
    <n v="9"/>
  </r>
  <r>
    <n v="1220"/>
    <s v="2025-06-20"/>
    <x v="2"/>
    <x v="0"/>
    <x v="2"/>
    <x v="2"/>
    <n v="339"/>
    <n v="30.51"/>
    <n v="10"/>
  </r>
  <r>
    <n v="1221"/>
    <s v="2025-09-14"/>
    <x v="7"/>
    <x v="3"/>
    <x v="0"/>
    <x v="0"/>
    <n v="1490"/>
    <n v="208.6"/>
    <n v="8"/>
  </r>
  <r>
    <n v="1222"/>
    <s v="2025-02-17"/>
    <x v="4"/>
    <x v="1"/>
    <x v="4"/>
    <x v="1"/>
    <n v="311"/>
    <n v="21.77"/>
    <n v="7"/>
  </r>
  <r>
    <n v="1223"/>
    <s v="2025-02-18"/>
    <x v="4"/>
    <x v="1"/>
    <x v="4"/>
    <x v="1"/>
    <n v="330"/>
    <n v="82.5"/>
    <n v="7"/>
  </r>
  <r>
    <n v="1224"/>
    <s v="2025-05-04"/>
    <x v="11"/>
    <x v="1"/>
    <x v="3"/>
    <x v="2"/>
    <n v="501"/>
    <n v="25.05"/>
    <n v="8"/>
  </r>
  <r>
    <n v="1225"/>
    <s v="2025-08-04"/>
    <x v="8"/>
    <x v="3"/>
    <x v="2"/>
    <x v="2"/>
    <n v="1286"/>
    <n v="192.9"/>
    <n v="9"/>
  </r>
  <r>
    <n v="1226"/>
    <s v="2025-06-08"/>
    <x v="2"/>
    <x v="2"/>
    <x v="1"/>
    <x v="1"/>
    <n v="393"/>
    <n v="78.599999999999994"/>
    <n v="8"/>
  </r>
  <r>
    <n v="1227"/>
    <s v="2025-02-20"/>
    <x v="4"/>
    <x v="0"/>
    <x v="5"/>
    <x v="0"/>
    <n v="446"/>
    <n v="115.96"/>
    <n v="10"/>
  </r>
  <r>
    <n v="1228"/>
    <s v="2025-10-08"/>
    <x v="9"/>
    <x v="1"/>
    <x v="3"/>
    <x v="2"/>
    <n v="1308"/>
    <n v="300.83999999999997"/>
    <n v="1"/>
  </r>
  <r>
    <n v="1229"/>
    <s v="2025-10-16"/>
    <x v="9"/>
    <x v="2"/>
    <x v="4"/>
    <x v="1"/>
    <n v="774"/>
    <n v="170.28"/>
    <n v="10"/>
  </r>
  <r>
    <n v="1230"/>
    <s v="2025-10-06"/>
    <x v="9"/>
    <x v="0"/>
    <x v="3"/>
    <x v="2"/>
    <n v="1397"/>
    <n v="405.13"/>
    <n v="6"/>
  </r>
  <r>
    <n v="1231"/>
    <s v="2025-05-23"/>
    <x v="11"/>
    <x v="1"/>
    <x v="5"/>
    <x v="0"/>
    <n v="1353"/>
    <n v="135.30000000000001"/>
    <n v="9"/>
  </r>
  <r>
    <n v="1232"/>
    <s v="2025-01-06"/>
    <x v="3"/>
    <x v="1"/>
    <x v="2"/>
    <x v="2"/>
    <n v="996"/>
    <n v="258.95999999999998"/>
    <n v="3"/>
  </r>
  <r>
    <n v="1233"/>
    <s v="2025-08-05"/>
    <x v="8"/>
    <x v="2"/>
    <x v="4"/>
    <x v="1"/>
    <n v="730"/>
    <n v="124.1"/>
    <n v="6"/>
  </r>
  <r>
    <n v="1234"/>
    <s v="2025-06-04"/>
    <x v="2"/>
    <x v="0"/>
    <x v="2"/>
    <x v="2"/>
    <n v="1109"/>
    <n v="255.07"/>
    <n v="4"/>
  </r>
  <r>
    <n v="1235"/>
    <s v="2025-03-10"/>
    <x v="0"/>
    <x v="3"/>
    <x v="5"/>
    <x v="0"/>
    <n v="573"/>
    <n v="148.97999999999999"/>
    <n v="2"/>
  </r>
  <r>
    <n v="1236"/>
    <s v="2025-02-15"/>
    <x v="4"/>
    <x v="3"/>
    <x v="5"/>
    <x v="0"/>
    <n v="687"/>
    <n v="61.83"/>
    <n v="7"/>
  </r>
  <r>
    <n v="1237"/>
    <s v="2025-12-11"/>
    <x v="6"/>
    <x v="1"/>
    <x v="4"/>
    <x v="1"/>
    <n v="782"/>
    <n v="39.1"/>
    <n v="8"/>
  </r>
  <r>
    <n v="1238"/>
    <s v="2025-10-26"/>
    <x v="9"/>
    <x v="1"/>
    <x v="4"/>
    <x v="1"/>
    <n v="1394"/>
    <n v="69.7"/>
    <n v="1"/>
  </r>
  <r>
    <n v="1239"/>
    <s v="2025-04-20"/>
    <x v="10"/>
    <x v="0"/>
    <x v="0"/>
    <x v="0"/>
    <n v="229"/>
    <n v="57.25"/>
    <n v="3"/>
  </r>
  <r>
    <n v="1240"/>
    <s v="2025-03-25"/>
    <x v="0"/>
    <x v="1"/>
    <x v="2"/>
    <x v="2"/>
    <n v="215"/>
    <n v="19.350000000000001"/>
    <n v="8"/>
  </r>
  <r>
    <n v="1241"/>
    <s v="2025-07-01"/>
    <x v="1"/>
    <x v="2"/>
    <x v="2"/>
    <x v="2"/>
    <n v="320"/>
    <n v="32"/>
    <n v="8"/>
  </r>
  <r>
    <n v="1242"/>
    <s v="2025-07-26"/>
    <x v="1"/>
    <x v="1"/>
    <x v="1"/>
    <x v="1"/>
    <n v="749"/>
    <n v="127.33"/>
    <n v="4"/>
  </r>
  <r>
    <n v="1243"/>
    <s v="2025-09-11"/>
    <x v="7"/>
    <x v="3"/>
    <x v="5"/>
    <x v="0"/>
    <n v="644"/>
    <n v="32.200000000000003"/>
    <n v="4"/>
  </r>
  <r>
    <n v="1244"/>
    <s v="2025-06-06"/>
    <x v="2"/>
    <x v="0"/>
    <x v="1"/>
    <x v="1"/>
    <n v="1072"/>
    <n v="96.48"/>
    <n v="7"/>
  </r>
  <r>
    <n v="1245"/>
    <s v="2025-06-06"/>
    <x v="2"/>
    <x v="1"/>
    <x v="3"/>
    <x v="2"/>
    <n v="217"/>
    <n v="54.25"/>
    <n v="2"/>
  </r>
  <r>
    <n v="1246"/>
    <s v="2025-07-04"/>
    <x v="1"/>
    <x v="0"/>
    <x v="4"/>
    <x v="1"/>
    <n v="1098"/>
    <n v="252.54"/>
    <n v="6"/>
  </r>
  <r>
    <n v="1247"/>
    <s v="2025-03-27"/>
    <x v="0"/>
    <x v="3"/>
    <x v="4"/>
    <x v="1"/>
    <n v="329"/>
    <n v="29.61"/>
    <n v="4"/>
  </r>
  <r>
    <n v="1248"/>
    <s v="2025-01-18"/>
    <x v="3"/>
    <x v="0"/>
    <x v="5"/>
    <x v="0"/>
    <n v="1290"/>
    <n v="77.400000000000006"/>
    <n v="2"/>
  </r>
  <r>
    <n v="1249"/>
    <s v="2025-01-11"/>
    <x v="3"/>
    <x v="2"/>
    <x v="0"/>
    <x v="0"/>
    <n v="923"/>
    <n v="55.38"/>
    <n v="2"/>
  </r>
  <r>
    <n v="1250"/>
    <s v="2025-06-10"/>
    <x v="2"/>
    <x v="2"/>
    <x v="4"/>
    <x v="1"/>
    <n v="1153"/>
    <n v="196.01"/>
    <n v="7"/>
  </r>
  <r>
    <n v="1251"/>
    <s v="2025-01-27"/>
    <x v="3"/>
    <x v="1"/>
    <x v="3"/>
    <x v="2"/>
    <n v="851"/>
    <n v="246.79"/>
    <n v="3"/>
  </r>
  <r>
    <n v="1252"/>
    <s v="2025-08-16"/>
    <x v="8"/>
    <x v="0"/>
    <x v="0"/>
    <x v="0"/>
    <n v="1160"/>
    <n v="220.4"/>
    <n v="2"/>
  </r>
  <r>
    <n v="1253"/>
    <s v="2025-02-11"/>
    <x v="4"/>
    <x v="0"/>
    <x v="0"/>
    <x v="0"/>
    <n v="1482"/>
    <n v="163.02000000000001"/>
    <n v="5"/>
  </r>
  <r>
    <n v="1254"/>
    <s v="2025-08-15"/>
    <x v="8"/>
    <x v="3"/>
    <x v="4"/>
    <x v="1"/>
    <n v="543"/>
    <n v="48.87"/>
    <n v="10"/>
  </r>
  <r>
    <n v="1255"/>
    <s v="2025-02-05"/>
    <x v="4"/>
    <x v="2"/>
    <x v="5"/>
    <x v="0"/>
    <n v="1268"/>
    <n v="291.64"/>
    <n v="2"/>
  </r>
  <r>
    <n v="1256"/>
    <s v="2025-07-10"/>
    <x v="1"/>
    <x v="2"/>
    <x v="2"/>
    <x v="2"/>
    <n v="436"/>
    <n v="82.84"/>
    <n v="2"/>
  </r>
  <r>
    <n v="1257"/>
    <s v="2025-08-19"/>
    <x v="8"/>
    <x v="3"/>
    <x v="3"/>
    <x v="2"/>
    <n v="1304"/>
    <n v="221.68"/>
    <n v="1"/>
  </r>
  <r>
    <n v="1258"/>
    <s v="2025-09-23"/>
    <x v="7"/>
    <x v="2"/>
    <x v="1"/>
    <x v="1"/>
    <n v="860"/>
    <n v="137.6"/>
    <n v="4"/>
  </r>
  <r>
    <n v="1259"/>
    <s v="2025-08-15"/>
    <x v="8"/>
    <x v="2"/>
    <x v="4"/>
    <x v="1"/>
    <n v="818"/>
    <n v="98.16"/>
    <n v="9"/>
  </r>
  <r>
    <n v="1260"/>
    <s v="2025-05-26"/>
    <x v="11"/>
    <x v="2"/>
    <x v="3"/>
    <x v="2"/>
    <n v="892"/>
    <n v="205.16"/>
    <n v="1"/>
  </r>
  <r>
    <n v="1261"/>
    <s v="2025-01-10"/>
    <x v="3"/>
    <x v="3"/>
    <x v="5"/>
    <x v="0"/>
    <n v="996"/>
    <n v="59.76"/>
    <n v="2"/>
  </r>
  <r>
    <n v="1262"/>
    <s v="2025-08-26"/>
    <x v="8"/>
    <x v="2"/>
    <x v="2"/>
    <x v="2"/>
    <n v="281"/>
    <n v="33.72"/>
    <n v="5"/>
  </r>
  <r>
    <n v="1263"/>
    <s v="2025-09-16"/>
    <x v="7"/>
    <x v="1"/>
    <x v="3"/>
    <x v="2"/>
    <n v="948"/>
    <n v="161.16"/>
    <n v="9"/>
  </r>
  <r>
    <n v="1264"/>
    <s v="2025-08-29"/>
    <x v="8"/>
    <x v="1"/>
    <x v="3"/>
    <x v="2"/>
    <n v="953"/>
    <n v="171.54"/>
    <n v="2"/>
  </r>
  <r>
    <n v="1265"/>
    <s v="2025-12-23"/>
    <x v="6"/>
    <x v="1"/>
    <x v="3"/>
    <x v="2"/>
    <n v="943"/>
    <n v="273.47000000000003"/>
    <n v="4"/>
  </r>
  <r>
    <n v="1266"/>
    <s v="2025-12-03"/>
    <x v="6"/>
    <x v="2"/>
    <x v="5"/>
    <x v="0"/>
    <n v="1379"/>
    <n v="399.91"/>
    <n v="7"/>
  </r>
  <r>
    <n v="1267"/>
    <s v="2025-10-18"/>
    <x v="9"/>
    <x v="0"/>
    <x v="2"/>
    <x v="2"/>
    <n v="289"/>
    <n v="34.68"/>
    <n v="3"/>
  </r>
  <r>
    <n v="1268"/>
    <s v="2025-03-08"/>
    <x v="0"/>
    <x v="0"/>
    <x v="0"/>
    <x v="0"/>
    <n v="1179"/>
    <n v="259.38"/>
    <n v="2"/>
  </r>
  <r>
    <n v="1269"/>
    <s v="2025-12-30"/>
    <x v="6"/>
    <x v="1"/>
    <x v="0"/>
    <x v="0"/>
    <n v="1267"/>
    <n v="342.09"/>
    <n v="10"/>
  </r>
  <r>
    <n v="1270"/>
    <s v="2025-11-04"/>
    <x v="5"/>
    <x v="1"/>
    <x v="1"/>
    <x v="1"/>
    <n v="374"/>
    <n v="89.76"/>
    <n v="7"/>
  </r>
  <r>
    <n v="1271"/>
    <s v="2025-06-16"/>
    <x v="2"/>
    <x v="3"/>
    <x v="3"/>
    <x v="2"/>
    <n v="828"/>
    <n v="74.52"/>
    <n v="5"/>
  </r>
  <r>
    <n v="1272"/>
    <s v="2025-05-14"/>
    <x v="11"/>
    <x v="0"/>
    <x v="5"/>
    <x v="0"/>
    <n v="410"/>
    <n v="90.2"/>
    <n v="1"/>
  </r>
  <r>
    <n v="1273"/>
    <s v="2025-05-09"/>
    <x v="11"/>
    <x v="2"/>
    <x v="0"/>
    <x v="0"/>
    <n v="194"/>
    <n v="56.26"/>
    <n v="3"/>
  </r>
  <r>
    <n v="1274"/>
    <s v="2025-10-21"/>
    <x v="9"/>
    <x v="2"/>
    <x v="4"/>
    <x v="1"/>
    <n v="1289"/>
    <n v="206.24"/>
    <n v="4"/>
  </r>
  <r>
    <n v="1275"/>
    <s v="2025-10-19"/>
    <x v="9"/>
    <x v="2"/>
    <x v="1"/>
    <x v="1"/>
    <n v="815"/>
    <n v="138.55000000000001"/>
    <n v="3"/>
  </r>
  <r>
    <n v="1276"/>
    <s v="2025-05-14"/>
    <x v="11"/>
    <x v="1"/>
    <x v="3"/>
    <x v="2"/>
    <n v="707"/>
    <n v="42.42"/>
    <n v="4"/>
  </r>
  <r>
    <n v="1277"/>
    <s v="2025-09-12"/>
    <x v="7"/>
    <x v="0"/>
    <x v="3"/>
    <x v="2"/>
    <n v="858"/>
    <n v="205.92"/>
    <n v="1"/>
  </r>
  <r>
    <n v="1278"/>
    <s v="2025-09-25"/>
    <x v="7"/>
    <x v="3"/>
    <x v="1"/>
    <x v="1"/>
    <n v="1190"/>
    <n v="142.80000000000001"/>
    <n v="1"/>
  </r>
  <r>
    <n v="1279"/>
    <s v="2025-04-22"/>
    <x v="10"/>
    <x v="3"/>
    <x v="5"/>
    <x v="0"/>
    <n v="1491"/>
    <n v="134.19"/>
    <n v="3"/>
  </r>
  <r>
    <n v="1280"/>
    <s v="2025-02-27"/>
    <x v="4"/>
    <x v="0"/>
    <x v="3"/>
    <x v="2"/>
    <n v="1033"/>
    <n v="61.98"/>
    <n v="10"/>
  </r>
  <r>
    <n v="1281"/>
    <s v="2025-01-15"/>
    <x v="3"/>
    <x v="2"/>
    <x v="0"/>
    <x v="0"/>
    <n v="513"/>
    <n v="71.819999999999993"/>
    <n v="8"/>
  </r>
  <r>
    <n v="1282"/>
    <s v="2025-08-02"/>
    <x v="8"/>
    <x v="2"/>
    <x v="1"/>
    <x v="1"/>
    <n v="335"/>
    <n v="67"/>
    <n v="1"/>
  </r>
  <r>
    <n v="1283"/>
    <s v="2025-08-06"/>
    <x v="8"/>
    <x v="3"/>
    <x v="4"/>
    <x v="1"/>
    <n v="635"/>
    <n v="184.15"/>
    <n v="7"/>
  </r>
  <r>
    <n v="1284"/>
    <s v="2025-06-22"/>
    <x v="2"/>
    <x v="0"/>
    <x v="4"/>
    <x v="1"/>
    <n v="651"/>
    <n v="58.59"/>
    <n v="9"/>
  </r>
  <r>
    <n v="1285"/>
    <s v="2025-02-05"/>
    <x v="4"/>
    <x v="0"/>
    <x v="2"/>
    <x v="2"/>
    <n v="585"/>
    <n v="93.6"/>
    <n v="3"/>
  </r>
  <r>
    <n v="1286"/>
    <s v="2025-10-10"/>
    <x v="9"/>
    <x v="1"/>
    <x v="1"/>
    <x v="1"/>
    <n v="80"/>
    <n v="19.2"/>
    <n v="9"/>
  </r>
  <r>
    <n v="1287"/>
    <s v="2025-07-07"/>
    <x v="1"/>
    <x v="2"/>
    <x v="4"/>
    <x v="1"/>
    <n v="1338"/>
    <n v="267.60000000000002"/>
    <n v="5"/>
  </r>
  <r>
    <n v="1288"/>
    <s v="2025-07-27"/>
    <x v="1"/>
    <x v="3"/>
    <x v="0"/>
    <x v="0"/>
    <n v="1451"/>
    <n v="333.73"/>
    <n v="5"/>
  </r>
  <r>
    <n v="1289"/>
    <s v="2025-12-17"/>
    <x v="6"/>
    <x v="0"/>
    <x v="1"/>
    <x v="1"/>
    <n v="393"/>
    <n v="55.02"/>
    <n v="9"/>
  </r>
  <r>
    <n v="1290"/>
    <s v="2025-05-16"/>
    <x v="11"/>
    <x v="0"/>
    <x v="0"/>
    <x v="0"/>
    <n v="615"/>
    <n v="141.44999999999999"/>
    <n v="5"/>
  </r>
  <r>
    <n v="1291"/>
    <s v="2025-10-13"/>
    <x v="9"/>
    <x v="0"/>
    <x v="1"/>
    <x v="1"/>
    <n v="1239"/>
    <n v="223.02"/>
    <n v="3"/>
  </r>
  <r>
    <n v="1292"/>
    <s v="2025-06-13"/>
    <x v="2"/>
    <x v="0"/>
    <x v="1"/>
    <x v="1"/>
    <n v="304"/>
    <n v="18.239999999999998"/>
    <n v="5"/>
  </r>
  <r>
    <n v="1293"/>
    <s v="2025-04-08"/>
    <x v="10"/>
    <x v="3"/>
    <x v="2"/>
    <x v="2"/>
    <n v="499"/>
    <n v="104.79"/>
    <n v="4"/>
  </r>
  <r>
    <n v="1294"/>
    <s v="2025-03-17"/>
    <x v="0"/>
    <x v="1"/>
    <x v="4"/>
    <x v="1"/>
    <n v="1386"/>
    <n v="221.76"/>
    <n v="5"/>
  </r>
  <r>
    <n v="1295"/>
    <s v="2025-01-20"/>
    <x v="3"/>
    <x v="2"/>
    <x v="3"/>
    <x v="2"/>
    <n v="643"/>
    <n v="70.73"/>
    <n v="8"/>
  </r>
  <r>
    <n v="1296"/>
    <s v="2025-07-02"/>
    <x v="1"/>
    <x v="1"/>
    <x v="5"/>
    <x v="0"/>
    <n v="323"/>
    <n v="41.99"/>
    <n v="2"/>
  </r>
  <r>
    <n v="1297"/>
    <s v="2025-12-13"/>
    <x v="6"/>
    <x v="1"/>
    <x v="2"/>
    <x v="2"/>
    <n v="448"/>
    <n v="49.28"/>
    <n v="7"/>
  </r>
  <r>
    <n v="1298"/>
    <s v="2025-02-09"/>
    <x v="4"/>
    <x v="0"/>
    <x v="0"/>
    <x v="0"/>
    <n v="947"/>
    <n v="132.58000000000001"/>
    <n v="3"/>
  </r>
  <r>
    <n v="1299"/>
    <s v="2025-10-27"/>
    <x v="9"/>
    <x v="1"/>
    <x v="2"/>
    <x v="2"/>
    <n v="180"/>
    <n v="46.8"/>
    <n v="4"/>
  </r>
  <r>
    <n v="1300"/>
    <s v="2025-11-04"/>
    <x v="5"/>
    <x v="2"/>
    <x v="3"/>
    <x v="2"/>
    <n v="927"/>
    <n v="231.7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985C9-82DC-4CDA-8CBC-09C096AEF14B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19:H26" firstHeaderRow="1" firstDataRow="1" firstDataCol="1"/>
  <pivotFields count="9">
    <pivotField showAll="0"/>
    <pivotField showAll="0"/>
    <pivotField showAll="0">
      <items count="13">
        <item x="3"/>
        <item x="4"/>
        <item x="0"/>
        <item x="10"/>
        <item x="11"/>
        <item x="2"/>
        <item x="1"/>
        <item x="8"/>
        <item x="7"/>
        <item x="9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7">
        <item x="4"/>
        <item x="1"/>
        <item x="5"/>
        <item x="0"/>
        <item x="2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rofit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8E388-9DBD-4626-BA8B-BD24DE8FB568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3:H16" firstHeaderRow="1" firstDataRow="1" firstDataCol="1"/>
  <pivotFields count="9">
    <pivotField showAll="0"/>
    <pivotField showAll="0"/>
    <pivotField axis="axisRow" showAll="0">
      <items count="13">
        <item x="3"/>
        <item x="4"/>
        <item x="0"/>
        <item x="10"/>
        <item x="11"/>
        <item x="2"/>
        <item x="1"/>
        <item x="8"/>
        <item x="7"/>
        <item x="9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Sales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AF156-4F85-44DA-9589-6AE1DA9E736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5:B19" firstHeaderRow="1" firstDataRow="1" firstDataCol="1"/>
  <pivotFields count="9">
    <pivotField showAll="0"/>
    <pivotField showAll="0"/>
    <pivotField showAll="0">
      <items count="13">
        <item x="3"/>
        <item x="4"/>
        <item x="0"/>
        <item x="10"/>
        <item x="11"/>
        <item x="2"/>
        <item x="1"/>
        <item x="8"/>
        <item x="7"/>
        <item x="9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6" baseField="4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39F0E-7A6F-45F6-B146-503C9F93984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showAll="0"/>
    <pivotField showAll="0"/>
    <pivotField showAll="0">
      <items count="13">
        <item x="3"/>
        <item x="4"/>
        <item x="0"/>
        <item x="10"/>
        <item x="11"/>
        <item x="2"/>
        <item x="1"/>
        <item x="8"/>
        <item x="7"/>
        <item x="9"/>
        <item x="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es" fld="6" baseField="2" baseItem="0" numFmtId="164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9C8DAAB9-7204-4343-85BA-C6F0AEE93DA5}" sourceName="Region">
  <pivotTables>
    <pivotTable tabId="2" name="TablaDinámica1"/>
    <pivotTable tabId="2" name="TablaDinámica2"/>
    <pivotTable tabId="2" name="TablaDinámica4"/>
    <pivotTable tabId="2" name="TablaDinámica5"/>
  </pivotTables>
  <data>
    <tabular pivotCacheId="631202373">
      <items count="4">
        <i x="1" s="1"/>
        <i x="0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EE9DA57E-C915-4794-AF84-E8CA526B7E10}" sourceName="Category">
  <pivotTables>
    <pivotTable tabId="2" name="TablaDinámica1"/>
    <pivotTable tabId="2" name="TablaDinámica2"/>
    <pivotTable tabId="2" name="TablaDinámica4"/>
    <pivotTable tabId="2" name="TablaDinámica5"/>
  </pivotTables>
  <data>
    <tabular pivotCacheId="631202373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F0DCCA88-979A-4F1D-B802-52B31D56BE68}" sourceName="Mes">
  <pivotTables>
    <pivotTable tabId="2" name="TablaDinámica1"/>
    <pivotTable tabId="2" name="TablaDinámica2"/>
    <pivotTable tabId="2" name="TablaDinámica4"/>
    <pivotTable tabId="2" name="TablaDinámica5"/>
  </pivotTables>
  <data>
    <tabular pivotCacheId="631202373">
      <items count="12">
        <i x="3" s="1"/>
        <i x="4" s="1"/>
        <i x="0" s="1"/>
        <i x="10" s="1"/>
        <i x="11" s="1"/>
        <i x="2" s="1"/>
        <i x="1" s="1"/>
        <i x="8" s="1"/>
        <i x="7" s="1"/>
        <i x="9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1147F695-2E6D-4458-A913-7AA5EABF8051}" cache="SegmentaciónDeDatos_Region" caption="Region" style="SlicerStyleOther1" rowHeight="241300"/>
  <slicer name="Category" xr10:uid="{F1B72657-EAD5-4C1B-BCF8-0AFB2F7E80F7}" cache="SegmentaciónDeDatos_Category" caption="Category" style="SlicerStyleOther1" rowHeight="241300"/>
  <slicer name="Mes" xr10:uid="{58A9E622-8C26-45C8-97A8-22A52F656415}" cache="SegmentaciónDeDatos_Mes" caption="Mes" columnCount="2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FB1AD-65D9-49ED-97D5-F932A81A4A34}" name="tblSales" displayName="tblSales" ref="A1:I301" totalsRowShown="0">
  <autoFilter ref="A1:I301" xr:uid="{410FB1AD-65D9-49ED-97D5-F932A81A4A34}"/>
  <tableColumns count="9">
    <tableColumn id="1" xr3:uid="{15822B05-D6EB-4055-96B9-07010CC13BA0}" name="Order ID"/>
    <tableColumn id="2" xr3:uid="{6379A2AD-F366-4572-8DCE-300C25ACD306}" name="Date"/>
    <tableColumn id="9" xr3:uid="{E25E4844-0FC8-42C7-9A76-4467C196626D}" name="Mes" dataDxfId="0">
      <calculatedColumnFormula>TEXT(tblSales[[#This Row],[Date]],"mmmm")</calculatedColumnFormula>
    </tableColumn>
    <tableColumn id="3" xr3:uid="{847F4169-BD25-41BC-AB57-A5743983E95B}" name="Region"/>
    <tableColumn id="4" xr3:uid="{46FC6310-8A82-4BBD-9458-3895FBED9A43}" name="Product"/>
    <tableColumn id="5" xr3:uid="{294133DE-693F-4F4E-8714-DF005157FF4E}" name="Category"/>
    <tableColumn id="6" xr3:uid="{DE0A8590-27E2-4D04-BD41-2ACA1ACE7055}" name="Sales"/>
    <tableColumn id="7" xr3:uid="{9F216625-0F92-406C-BD1B-42AF6C077034}" name="Profit"/>
    <tableColumn id="8" xr3:uid="{662D931E-1534-4D18-81D1-20636F04434B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opLeftCell="A2" workbookViewId="0">
      <selection activeCell="A2" sqref="A2"/>
    </sheetView>
  </sheetViews>
  <sheetFormatPr baseColWidth="10" defaultColWidth="9.140625" defaultRowHeight="15" x14ac:dyDescent="0.25"/>
  <cols>
    <col min="1" max="1" width="10.5703125" customWidth="1"/>
    <col min="2" max="2" width="10.85546875" customWidth="1"/>
    <col min="3" max="3" width="12.5703125" customWidth="1"/>
    <col min="4" max="4" width="9.28515625" customWidth="1"/>
    <col min="5" max="5" width="10" customWidth="1"/>
    <col min="6" max="6" width="11" customWidth="1"/>
    <col min="9" max="9" width="10.85546875" customWidth="1"/>
  </cols>
  <sheetData>
    <row r="1" spans="1:9" x14ac:dyDescent="0.25">
      <c r="A1" t="s">
        <v>0</v>
      </c>
      <c r="B1" t="s">
        <v>1</v>
      </c>
      <c r="C1" t="s">
        <v>230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t="s">
        <v>8</v>
      </c>
      <c r="C2" t="str">
        <f>TEXT(tblSales[[#This Row],[Date]],"mmmm")</f>
        <v>marzo</v>
      </c>
      <c r="D2" t="s">
        <v>9</v>
      </c>
      <c r="E2" t="s">
        <v>10</v>
      </c>
      <c r="F2" t="s">
        <v>11</v>
      </c>
      <c r="G2">
        <v>236</v>
      </c>
      <c r="H2">
        <v>51.92</v>
      </c>
      <c r="I2">
        <v>4</v>
      </c>
    </row>
    <row r="3" spans="1:9" x14ac:dyDescent="0.25">
      <c r="A3">
        <v>1002</v>
      </c>
      <c r="B3" t="s">
        <v>12</v>
      </c>
      <c r="C3" t="str">
        <f>TEXT(tblSales[[#This Row],[Date]],"mmmm")</f>
        <v>julio</v>
      </c>
      <c r="D3" t="s">
        <v>13</v>
      </c>
      <c r="E3" t="s">
        <v>14</v>
      </c>
      <c r="F3" t="s">
        <v>15</v>
      </c>
      <c r="G3">
        <v>1387</v>
      </c>
      <c r="H3">
        <v>152.57</v>
      </c>
      <c r="I3">
        <v>3</v>
      </c>
    </row>
    <row r="4" spans="1:9" x14ac:dyDescent="0.25">
      <c r="A4">
        <v>1003</v>
      </c>
      <c r="B4" t="s">
        <v>16</v>
      </c>
      <c r="C4" t="str">
        <f>TEXT(tblSales[[#This Row],[Date]],"mmmm")</f>
        <v>junio</v>
      </c>
      <c r="D4" t="s">
        <v>17</v>
      </c>
      <c r="E4" t="s">
        <v>18</v>
      </c>
      <c r="F4" t="s">
        <v>19</v>
      </c>
      <c r="G4">
        <v>994</v>
      </c>
      <c r="H4">
        <v>188.86</v>
      </c>
      <c r="I4">
        <v>6</v>
      </c>
    </row>
    <row r="5" spans="1:9" x14ac:dyDescent="0.25">
      <c r="A5">
        <v>1004</v>
      </c>
      <c r="B5" t="s">
        <v>20</v>
      </c>
      <c r="C5" t="str">
        <f>TEXT(tblSales[[#This Row],[Date]],"mmmm")</f>
        <v>enero</v>
      </c>
      <c r="D5" t="s">
        <v>13</v>
      </c>
      <c r="E5" t="s">
        <v>18</v>
      </c>
      <c r="F5" t="s">
        <v>19</v>
      </c>
      <c r="G5">
        <v>1354</v>
      </c>
      <c r="H5">
        <v>406.2</v>
      </c>
      <c r="I5">
        <v>3</v>
      </c>
    </row>
    <row r="6" spans="1:9" x14ac:dyDescent="0.25">
      <c r="A6">
        <v>1005</v>
      </c>
      <c r="B6" t="s">
        <v>21</v>
      </c>
      <c r="C6" t="str">
        <f>TEXT(tblSales[[#This Row],[Date]],"mmmm")</f>
        <v>marzo</v>
      </c>
      <c r="D6" t="s">
        <v>17</v>
      </c>
      <c r="E6" t="s">
        <v>22</v>
      </c>
      <c r="F6" t="s">
        <v>19</v>
      </c>
      <c r="G6">
        <v>378</v>
      </c>
      <c r="H6">
        <v>94.5</v>
      </c>
      <c r="I6">
        <v>9</v>
      </c>
    </row>
    <row r="7" spans="1:9" x14ac:dyDescent="0.25">
      <c r="A7">
        <v>1006</v>
      </c>
      <c r="B7" t="s">
        <v>23</v>
      </c>
      <c r="C7" t="str">
        <f>TEXT(tblSales[[#This Row],[Date]],"mmmm")</f>
        <v>febrero</v>
      </c>
      <c r="D7" t="s">
        <v>9</v>
      </c>
      <c r="E7" t="s">
        <v>10</v>
      </c>
      <c r="F7" t="s">
        <v>11</v>
      </c>
      <c r="G7">
        <v>1228</v>
      </c>
      <c r="H7">
        <v>368.4</v>
      </c>
      <c r="I7">
        <v>4</v>
      </c>
    </row>
    <row r="8" spans="1:9" x14ac:dyDescent="0.25">
      <c r="A8">
        <v>1007</v>
      </c>
      <c r="B8" t="s">
        <v>24</v>
      </c>
      <c r="C8" t="str">
        <f>TEXT(tblSales[[#This Row],[Date]],"mmmm")</f>
        <v>noviembre</v>
      </c>
      <c r="D8" t="s">
        <v>17</v>
      </c>
      <c r="E8" t="s">
        <v>14</v>
      </c>
      <c r="F8" t="s">
        <v>15</v>
      </c>
      <c r="G8">
        <v>1273</v>
      </c>
      <c r="H8">
        <v>114.57</v>
      </c>
      <c r="I8">
        <v>4</v>
      </c>
    </row>
    <row r="9" spans="1:9" x14ac:dyDescent="0.25">
      <c r="A9">
        <v>1008</v>
      </c>
      <c r="B9" t="s">
        <v>25</v>
      </c>
      <c r="C9" t="str">
        <f>TEXT(tblSales[[#This Row],[Date]],"mmmm")</f>
        <v>noviembre</v>
      </c>
      <c r="D9" t="s">
        <v>26</v>
      </c>
      <c r="E9" t="s">
        <v>14</v>
      </c>
      <c r="F9" t="s">
        <v>15</v>
      </c>
      <c r="G9">
        <v>1395</v>
      </c>
      <c r="H9">
        <v>237.15</v>
      </c>
      <c r="I9">
        <v>5</v>
      </c>
    </row>
    <row r="10" spans="1:9" x14ac:dyDescent="0.25">
      <c r="A10">
        <v>1009</v>
      </c>
      <c r="B10" t="s">
        <v>27</v>
      </c>
      <c r="C10" t="str">
        <f>TEXT(tblSales[[#This Row],[Date]],"mmmm")</f>
        <v>diciembre</v>
      </c>
      <c r="D10" t="s">
        <v>13</v>
      </c>
      <c r="E10" t="s">
        <v>14</v>
      </c>
      <c r="F10" t="s">
        <v>15</v>
      </c>
      <c r="G10">
        <v>314</v>
      </c>
      <c r="H10">
        <v>21.98</v>
      </c>
      <c r="I10">
        <v>8</v>
      </c>
    </row>
    <row r="11" spans="1:9" x14ac:dyDescent="0.25">
      <c r="A11">
        <v>1010</v>
      </c>
      <c r="B11" t="s">
        <v>28</v>
      </c>
      <c r="C11" t="str">
        <f>TEXT(tblSales[[#This Row],[Date]],"mmmm")</f>
        <v>febrero</v>
      </c>
      <c r="D11" t="s">
        <v>13</v>
      </c>
      <c r="E11" t="s">
        <v>14</v>
      </c>
      <c r="F11" t="s">
        <v>15</v>
      </c>
      <c r="G11">
        <v>440</v>
      </c>
      <c r="H11">
        <v>39.6</v>
      </c>
      <c r="I11">
        <v>8</v>
      </c>
    </row>
    <row r="12" spans="1:9" x14ac:dyDescent="0.25">
      <c r="A12">
        <v>1011</v>
      </c>
      <c r="B12" t="s">
        <v>21</v>
      </c>
      <c r="C12" t="str">
        <f>TEXT(tblSales[[#This Row],[Date]],"mmmm")</f>
        <v>marzo</v>
      </c>
      <c r="D12" t="s">
        <v>13</v>
      </c>
      <c r="E12" t="s">
        <v>18</v>
      </c>
      <c r="F12" t="s">
        <v>19</v>
      </c>
      <c r="G12">
        <v>407</v>
      </c>
      <c r="H12">
        <v>52.91</v>
      </c>
      <c r="I12">
        <v>10</v>
      </c>
    </row>
    <row r="13" spans="1:9" x14ac:dyDescent="0.25">
      <c r="A13">
        <v>1012</v>
      </c>
      <c r="B13" t="s">
        <v>29</v>
      </c>
      <c r="C13" t="str">
        <f>TEXT(tblSales[[#This Row],[Date]],"mmmm")</f>
        <v>enero</v>
      </c>
      <c r="D13" t="s">
        <v>9</v>
      </c>
      <c r="E13" t="s">
        <v>18</v>
      </c>
      <c r="F13" t="s">
        <v>19</v>
      </c>
      <c r="G13">
        <v>1468</v>
      </c>
      <c r="H13">
        <v>73.400000000000006</v>
      </c>
      <c r="I13">
        <v>1</v>
      </c>
    </row>
    <row r="14" spans="1:9" x14ac:dyDescent="0.25">
      <c r="A14">
        <v>1013</v>
      </c>
      <c r="B14" t="s">
        <v>30</v>
      </c>
      <c r="C14" t="str">
        <f>TEXT(tblSales[[#This Row],[Date]],"mmmm")</f>
        <v>enero</v>
      </c>
      <c r="D14" t="s">
        <v>17</v>
      </c>
      <c r="E14" t="s">
        <v>18</v>
      </c>
      <c r="F14" t="s">
        <v>19</v>
      </c>
      <c r="G14">
        <v>471</v>
      </c>
      <c r="H14">
        <v>141.30000000000001</v>
      </c>
      <c r="I14">
        <v>4</v>
      </c>
    </row>
    <row r="15" spans="1:9" x14ac:dyDescent="0.25">
      <c r="A15">
        <v>1014</v>
      </c>
      <c r="B15" t="s">
        <v>31</v>
      </c>
      <c r="C15" t="str">
        <f>TEXT(tblSales[[#This Row],[Date]],"mmmm")</f>
        <v>febrero</v>
      </c>
      <c r="D15" t="s">
        <v>17</v>
      </c>
      <c r="E15" t="s">
        <v>22</v>
      </c>
      <c r="F15" t="s">
        <v>19</v>
      </c>
      <c r="G15">
        <v>1431</v>
      </c>
      <c r="H15">
        <v>414.99</v>
      </c>
      <c r="I15">
        <v>7</v>
      </c>
    </row>
    <row r="16" spans="1:9" x14ac:dyDescent="0.25">
      <c r="A16">
        <v>1015</v>
      </c>
      <c r="B16" t="s">
        <v>32</v>
      </c>
      <c r="C16" t="str">
        <f>TEXT(tblSales[[#This Row],[Date]],"mmmm")</f>
        <v>diciembre</v>
      </c>
      <c r="D16" t="s">
        <v>13</v>
      </c>
      <c r="E16" t="s">
        <v>33</v>
      </c>
      <c r="F16" t="s">
        <v>15</v>
      </c>
      <c r="G16">
        <v>146</v>
      </c>
      <c r="H16">
        <v>7.3</v>
      </c>
      <c r="I16">
        <v>4</v>
      </c>
    </row>
    <row r="17" spans="1:9" x14ac:dyDescent="0.25">
      <c r="A17">
        <v>1016</v>
      </c>
      <c r="B17" t="s">
        <v>34</v>
      </c>
      <c r="C17" t="str">
        <f>TEXT(tblSales[[#This Row],[Date]],"mmmm")</f>
        <v>septiembre</v>
      </c>
      <c r="D17" t="s">
        <v>9</v>
      </c>
      <c r="E17" t="s">
        <v>35</v>
      </c>
      <c r="F17" t="s">
        <v>11</v>
      </c>
      <c r="G17">
        <v>1215</v>
      </c>
      <c r="H17">
        <v>255.15</v>
      </c>
      <c r="I17">
        <v>7</v>
      </c>
    </row>
    <row r="18" spans="1:9" x14ac:dyDescent="0.25">
      <c r="A18">
        <v>1017</v>
      </c>
      <c r="B18" t="s">
        <v>36</v>
      </c>
      <c r="C18" t="str">
        <f>TEXT(tblSales[[#This Row],[Date]],"mmmm")</f>
        <v>agosto</v>
      </c>
      <c r="D18" t="s">
        <v>9</v>
      </c>
      <c r="E18" t="s">
        <v>10</v>
      </c>
      <c r="F18" t="s">
        <v>11</v>
      </c>
      <c r="G18">
        <v>1000</v>
      </c>
      <c r="H18">
        <v>100</v>
      </c>
      <c r="I18">
        <v>1</v>
      </c>
    </row>
    <row r="19" spans="1:9" x14ac:dyDescent="0.25">
      <c r="A19">
        <v>1018</v>
      </c>
      <c r="B19" t="s">
        <v>37</v>
      </c>
      <c r="C19" t="str">
        <f>TEXT(tblSales[[#This Row],[Date]],"mmmm")</f>
        <v>septiembre</v>
      </c>
      <c r="D19" t="s">
        <v>17</v>
      </c>
      <c r="E19" t="s">
        <v>18</v>
      </c>
      <c r="F19" t="s">
        <v>19</v>
      </c>
      <c r="G19">
        <v>1382</v>
      </c>
      <c r="H19">
        <v>345.5</v>
      </c>
      <c r="I19">
        <v>7</v>
      </c>
    </row>
    <row r="20" spans="1:9" x14ac:dyDescent="0.25">
      <c r="A20">
        <v>1019</v>
      </c>
      <c r="B20" t="s">
        <v>38</v>
      </c>
      <c r="C20" t="str">
        <f>TEXT(tblSales[[#This Row],[Date]],"mmmm")</f>
        <v>marzo</v>
      </c>
      <c r="D20" t="s">
        <v>26</v>
      </c>
      <c r="E20" t="s">
        <v>14</v>
      </c>
      <c r="F20" t="s">
        <v>15</v>
      </c>
      <c r="G20">
        <v>702</v>
      </c>
      <c r="H20">
        <v>154.44</v>
      </c>
      <c r="I20">
        <v>7</v>
      </c>
    </row>
    <row r="21" spans="1:9" x14ac:dyDescent="0.25">
      <c r="A21">
        <v>1020</v>
      </c>
      <c r="B21" t="s">
        <v>39</v>
      </c>
      <c r="C21" t="str">
        <f>TEXT(tblSales[[#This Row],[Date]],"mmmm")</f>
        <v>agosto</v>
      </c>
      <c r="D21" t="s">
        <v>13</v>
      </c>
      <c r="E21" t="s">
        <v>10</v>
      </c>
      <c r="F21" t="s">
        <v>11</v>
      </c>
      <c r="G21">
        <v>865</v>
      </c>
      <c r="H21">
        <v>233.55</v>
      </c>
      <c r="I21">
        <v>7</v>
      </c>
    </row>
    <row r="22" spans="1:9" x14ac:dyDescent="0.25">
      <c r="A22">
        <v>1021</v>
      </c>
      <c r="B22" t="s">
        <v>40</v>
      </c>
      <c r="C22" t="str">
        <f>TEXT(tblSales[[#This Row],[Date]],"mmmm")</f>
        <v>noviembre</v>
      </c>
      <c r="D22" t="s">
        <v>13</v>
      </c>
      <c r="E22" t="s">
        <v>14</v>
      </c>
      <c r="F22" t="s">
        <v>15</v>
      </c>
      <c r="G22">
        <v>301</v>
      </c>
      <c r="H22">
        <v>15.05</v>
      </c>
      <c r="I22">
        <v>3</v>
      </c>
    </row>
    <row r="23" spans="1:9" x14ac:dyDescent="0.25">
      <c r="A23">
        <v>1022</v>
      </c>
      <c r="B23" t="s">
        <v>41</v>
      </c>
      <c r="C23" t="str">
        <f>TEXT(tblSales[[#This Row],[Date]],"mmmm")</f>
        <v>octubre</v>
      </c>
      <c r="D23" t="s">
        <v>17</v>
      </c>
      <c r="E23" t="s">
        <v>18</v>
      </c>
      <c r="F23" t="s">
        <v>19</v>
      </c>
      <c r="G23">
        <v>601</v>
      </c>
      <c r="H23">
        <v>108.18</v>
      </c>
      <c r="I23">
        <v>5</v>
      </c>
    </row>
    <row r="24" spans="1:9" x14ac:dyDescent="0.25">
      <c r="A24">
        <v>1023</v>
      </c>
      <c r="B24" t="s">
        <v>42</v>
      </c>
      <c r="C24" t="str">
        <f>TEXT(tblSales[[#This Row],[Date]],"mmmm")</f>
        <v>octubre</v>
      </c>
      <c r="D24" t="s">
        <v>26</v>
      </c>
      <c r="E24" t="s">
        <v>10</v>
      </c>
      <c r="F24" t="s">
        <v>11</v>
      </c>
      <c r="G24">
        <v>986</v>
      </c>
      <c r="H24">
        <v>118.32</v>
      </c>
      <c r="I24">
        <v>1</v>
      </c>
    </row>
    <row r="25" spans="1:9" x14ac:dyDescent="0.25">
      <c r="A25">
        <v>1024</v>
      </c>
      <c r="B25" t="s">
        <v>43</v>
      </c>
      <c r="C25" t="str">
        <f>TEXT(tblSales[[#This Row],[Date]],"mmmm")</f>
        <v>febrero</v>
      </c>
      <c r="D25" t="s">
        <v>26</v>
      </c>
      <c r="E25" t="s">
        <v>22</v>
      </c>
      <c r="F25" t="s">
        <v>19</v>
      </c>
      <c r="G25">
        <v>821</v>
      </c>
      <c r="H25">
        <v>123.15</v>
      </c>
      <c r="I25">
        <v>4</v>
      </c>
    </row>
    <row r="26" spans="1:9" x14ac:dyDescent="0.25">
      <c r="A26">
        <v>1025</v>
      </c>
      <c r="B26" t="s">
        <v>44</v>
      </c>
      <c r="C26" t="str">
        <f>TEXT(tblSales[[#This Row],[Date]],"mmmm")</f>
        <v>enero</v>
      </c>
      <c r="D26" t="s">
        <v>13</v>
      </c>
      <c r="E26" t="s">
        <v>33</v>
      </c>
      <c r="F26" t="s">
        <v>15</v>
      </c>
      <c r="G26">
        <v>460</v>
      </c>
      <c r="H26">
        <v>128.80000000000001</v>
      </c>
      <c r="I26">
        <v>8</v>
      </c>
    </row>
    <row r="27" spans="1:9" x14ac:dyDescent="0.25">
      <c r="A27">
        <v>1026</v>
      </c>
      <c r="B27" t="s">
        <v>45</v>
      </c>
      <c r="C27" t="str">
        <f>TEXT(tblSales[[#This Row],[Date]],"mmmm")</f>
        <v>junio</v>
      </c>
      <c r="D27" t="s">
        <v>26</v>
      </c>
      <c r="E27" t="s">
        <v>22</v>
      </c>
      <c r="F27" t="s">
        <v>19</v>
      </c>
      <c r="G27">
        <v>517</v>
      </c>
      <c r="H27">
        <v>87.89</v>
      </c>
      <c r="I27">
        <v>5</v>
      </c>
    </row>
    <row r="28" spans="1:9" x14ac:dyDescent="0.25">
      <c r="A28">
        <v>1027</v>
      </c>
      <c r="B28" t="s">
        <v>46</v>
      </c>
      <c r="C28" t="str">
        <f>TEXT(tblSales[[#This Row],[Date]],"mmmm")</f>
        <v>julio</v>
      </c>
      <c r="D28" t="s">
        <v>13</v>
      </c>
      <c r="E28" t="s">
        <v>14</v>
      </c>
      <c r="F28" t="s">
        <v>15</v>
      </c>
      <c r="G28">
        <v>120</v>
      </c>
      <c r="H28">
        <v>24</v>
      </c>
      <c r="I28">
        <v>7</v>
      </c>
    </row>
    <row r="29" spans="1:9" x14ac:dyDescent="0.25">
      <c r="A29">
        <v>1028</v>
      </c>
      <c r="B29" t="s">
        <v>47</v>
      </c>
      <c r="C29" t="str">
        <f>TEXT(tblSales[[#This Row],[Date]],"mmmm")</f>
        <v>octubre</v>
      </c>
      <c r="D29" t="s">
        <v>9</v>
      </c>
      <c r="E29" t="s">
        <v>22</v>
      </c>
      <c r="F29" t="s">
        <v>19</v>
      </c>
      <c r="G29">
        <v>1444</v>
      </c>
      <c r="H29">
        <v>173.28</v>
      </c>
      <c r="I29">
        <v>7</v>
      </c>
    </row>
    <row r="30" spans="1:9" x14ac:dyDescent="0.25">
      <c r="A30">
        <v>1029</v>
      </c>
      <c r="B30" t="s">
        <v>48</v>
      </c>
      <c r="C30" t="str">
        <f>TEXT(tblSales[[#This Row],[Date]],"mmmm")</f>
        <v>marzo</v>
      </c>
      <c r="D30" t="s">
        <v>17</v>
      </c>
      <c r="E30" t="s">
        <v>14</v>
      </c>
      <c r="F30" t="s">
        <v>15</v>
      </c>
      <c r="G30">
        <v>376</v>
      </c>
      <c r="H30">
        <v>37.6</v>
      </c>
      <c r="I30">
        <v>3</v>
      </c>
    </row>
    <row r="31" spans="1:9" x14ac:dyDescent="0.25">
      <c r="A31">
        <v>1030</v>
      </c>
      <c r="B31" t="s">
        <v>49</v>
      </c>
      <c r="C31" t="str">
        <f>TEXT(tblSales[[#This Row],[Date]],"mmmm")</f>
        <v>junio</v>
      </c>
      <c r="D31" t="s">
        <v>26</v>
      </c>
      <c r="E31" t="s">
        <v>10</v>
      </c>
      <c r="F31" t="s">
        <v>11</v>
      </c>
      <c r="G31">
        <v>1247</v>
      </c>
      <c r="H31">
        <v>74.819999999999993</v>
      </c>
      <c r="I31">
        <v>2</v>
      </c>
    </row>
    <row r="32" spans="1:9" x14ac:dyDescent="0.25">
      <c r="A32">
        <v>1031</v>
      </c>
      <c r="B32" t="s">
        <v>50</v>
      </c>
      <c r="C32" t="str">
        <f>TEXT(tblSales[[#This Row],[Date]],"mmmm")</f>
        <v>junio</v>
      </c>
      <c r="D32" t="s">
        <v>9</v>
      </c>
      <c r="E32" t="s">
        <v>33</v>
      </c>
      <c r="F32" t="s">
        <v>15</v>
      </c>
      <c r="G32">
        <v>382</v>
      </c>
      <c r="H32">
        <v>19.100000000000001</v>
      </c>
      <c r="I32">
        <v>7</v>
      </c>
    </row>
    <row r="33" spans="1:9" x14ac:dyDescent="0.25">
      <c r="A33">
        <v>1032</v>
      </c>
      <c r="B33" t="s">
        <v>51</v>
      </c>
      <c r="C33" t="str">
        <f>TEXT(tblSales[[#This Row],[Date]],"mmmm")</f>
        <v>febrero</v>
      </c>
      <c r="D33" t="s">
        <v>26</v>
      </c>
      <c r="E33" t="s">
        <v>35</v>
      </c>
      <c r="F33" t="s">
        <v>11</v>
      </c>
      <c r="G33">
        <v>1384</v>
      </c>
      <c r="H33">
        <v>346</v>
      </c>
      <c r="I33">
        <v>4</v>
      </c>
    </row>
    <row r="34" spans="1:9" x14ac:dyDescent="0.25">
      <c r="A34">
        <v>1033</v>
      </c>
      <c r="B34" t="s">
        <v>52</v>
      </c>
      <c r="C34" t="str">
        <f>TEXT(tblSales[[#This Row],[Date]],"mmmm")</f>
        <v>octubre</v>
      </c>
      <c r="D34" t="s">
        <v>9</v>
      </c>
      <c r="E34" t="s">
        <v>22</v>
      </c>
      <c r="F34" t="s">
        <v>19</v>
      </c>
      <c r="G34">
        <v>942</v>
      </c>
      <c r="H34">
        <v>94.2</v>
      </c>
      <c r="I34">
        <v>5</v>
      </c>
    </row>
    <row r="35" spans="1:9" x14ac:dyDescent="0.25">
      <c r="A35">
        <v>1034</v>
      </c>
      <c r="B35" t="s">
        <v>53</v>
      </c>
      <c r="C35" t="str">
        <f>TEXT(tblSales[[#This Row],[Date]],"mmmm")</f>
        <v>abril</v>
      </c>
      <c r="D35" t="s">
        <v>17</v>
      </c>
      <c r="E35" t="s">
        <v>35</v>
      </c>
      <c r="F35" t="s">
        <v>11</v>
      </c>
      <c r="G35">
        <v>190</v>
      </c>
      <c r="H35">
        <v>49.4</v>
      </c>
      <c r="I35">
        <v>5</v>
      </c>
    </row>
    <row r="36" spans="1:9" x14ac:dyDescent="0.25">
      <c r="A36">
        <v>1035</v>
      </c>
      <c r="B36" t="s">
        <v>54</v>
      </c>
      <c r="C36" t="str">
        <f>TEXT(tblSales[[#This Row],[Date]],"mmmm")</f>
        <v>diciembre</v>
      </c>
      <c r="D36" t="s">
        <v>13</v>
      </c>
      <c r="E36" t="s">
        <v>22</v>
      </c>
      <c r="F36" t="s">
        <v>19</v>
      </c>
      <c r="G36">
        <v>844</v>
      </c>
      <c r="H36">
        <v>236.32</v>
      </c>
      <c r="I36">
        <v>1</v>
      </c>
    </row>
    <row r="37" spans="1:9" x14ac:dyDescent="0.25">
      <c r="A37">
        <v>1036</v>
      </c>
      <c r="B37" t="s">
        <v>55</v>
      </c>
      <c r="C37" t="str">
        <f>TEXT(tblSales[[#This Row],[Date]],"mmmm")</f>
        <v>diciembre</v>
      </c>
      <c r="D37" t="s">
        <v>13</v>
      </c>
      <c r="E37" t="s">
        <v>35</v>
      </c>
      <c r="F37" t="s">
        <v>11</v>
      </c>
      <c r="G37">
        <v>1044</v>
      </c>
      <c r="H37">
        <v>229.68</v>
      </c>
      <c r="I37">
        <v>3</v>
      </c>
    </row>
    <row r="38" spans="1:9" x14ac:dyDescent="0.25">
      <c r="A38">
        <v>1037</v>
      </c>
      <c r="B38" t="s">
        <v>56</v>
      </c>
      <c r="C38" t="str">
        <f>TEXT(tblSales[[#This Row],[Date]],"mmmm")</f>
        <v>junio</v>
      </c>
      <c r="D38" t="s">
        <v>9</v>
      </c>
      <c r="E38" t="s">
        <v>35</v>
      </c>
      <c r="F38" t="s">
        <v>11</v>
      </c>
      <c r="G38">
        <v>28</v>
      </c>
      <c r="H38">
        <v>3.08</v>
      </c>
      <c r="I38">
        <v>4</v>
      </c>
    </row>
    <row r="39" spans="1:9" x14ac:dyDescent="0.25">
      <c r="A39">
        <v>1038</v>
      </c>
      <c r="B39" t="s">
        <v>57</v>
      </c>
      <c r="C39" t="str">
        <f>TEXT(tblSales[[#This Row],[Date]],"mmmm")</f>
        <v>marzo</v>
      </c>
      <c r="D39" t="s">
        <v>26</v>
      </c>
      <c r="E39" t="s">
        <v>35</v>
      </c>
      <c r="F39" t="s">
        <v>11</v>
      </c>
      <c r="G39">
        <v>1312</v>
      </c>
      <c r="H39">
        <v>183.68</v>
      </c>
      <c r="I39">
        <v>6</v>
      </c>
    </row>
    <row r="40" spans="1:9" x14ac:dyDescent="0.25">
      <c r="A40">
        <v>1039</v>
      </c>
      <c r="B40" t="s">
        <v>58</v>
      </c>
      <c r="C40" t="str">
        <f>TEXT(tblSales[[#This Row],[Date]],"mmmm")</f>
        <v>marzo</v>
      </c>
      <c r="D40" t="s">
        <v>17</v>
      </c>
      <c r="E40" t="s">
        <v>33</v>
      </c>
      <c r="F40" t="s">
        <v>15</v>
      </c>
      <c r="G40">
        <v>997</v>
      </c>
      <c r="H40">
        <v>239.28</v>
      </c>
      <c r="I40">
        <v>6</v>
      </c>
    </row>
    <row r="41" spans="1:9" x14ac:dyDescent="0.25">
      <c r="A41">
        <v>1040</v>
      </c>
      <c r="B41" t="s">
        <v>59</v>
      </c>
      <c r="C41" t="str">
        <f>TEXT(tblSales[[#This Row],[Date]],"mmmm")</f>
        <v>junio</v>
      </c>
      <c r="D41" t="s">
        <v>17</v>
      </c>
      <c r="E41" t="s">
        <v>18</v>
      </c>
      <c r="F41" t="s">
        <v>19</v>
      </c>
      <c r="G41">
        <v>1338</v>
      </c>
      <c r="H41">
        <v>334.5</v>
      </c>
      <c r="I41">
        <v>1</v>
      </c>
    </row>
    <row r="42" spans="1:9" x14ac:dyDescent="0.25">
      <c r="A42">
        <v>1041</v>
      </c>
      <c r="B42" t="s">
        <v>60</v>
      </c>
      <c r="C42" t="str">
        <f>TEXT(tblSales[[#This Row],[Date]],"mmmm")</f>
        <v>julio</v>
      </c>
      <c r="D42" t="s">
        <v>26</v>
      </c>
      <c r="E42" t="s">
        <v>22</v>
      </c>
      <c r="F42" t="s">
        <v>19</v>
      </c>
      <c r="G42">
        <v>107</v>
      </c>
      <c r="H42">
        <v>16.05</v>
      </c>
      <c r="I42">
        <v>2</v>
      </c>
    </row>
    <row r="43" spans="1:9" x14ac:dyDescent="0.25">
      <c r="A43">
        <v>1042</v>
      </c>
      <c r="B43" t="s">
        <v>30</v>
      </c>
      <c r="C43" t="str">
        <f>TEXT(tblSales[[#This Row],[Date]],"mmmm")</f>
        <v>enero</v>
      </c>
      <c r="D43" t="s">
        <v>13</v>
      </c>
      <c r="E43" t="s">
        <v>22</v>
      </c>
      <c r="F43" t="s">
        <v>19</v>
      </c>
      <c r="G43">
        <v>613</v>
      </c>
      <c r="H43">
        <v>134.86000000000001</v>
      </c>
      <c r="I43">
        <v>4</v>
      </c>
    </row>
    <row r="44" spans="1:9" x14ac:dyDescent="0.25">
      <c r="A44">
        <v>1043</v>
      </c>
      <c r="B44" t="s">
        <v>61</v>
      </c>
      <c r="C44" t="str">
        <f>TEXT(tblSales[[#This Row],[Date]],"mmmm")</f>
        <v>septiembre</v>
      </c>
      <c r="D44" t="s">
        <v>9</v>
      </c>
      <c r="E44" t="s">
        <v>22</v>
      </c>
      <c r="F44" t="s">
        <v>19</v>
      </c>
      <c r="G44">
        <v>1047</v>
      </c>
      <c r="H44">
        <v>282.69</v>
      </c>
      <c r="I44">
        <v>7</v>
      </c>
    </row>
    <row r="45" spans="1:9" x14ac:dyDescent="0.25">
      <c r="A45">
        <v>1044</v>
      </c>
      <c r="B45" t="s">
        <v>62</v>
      </c>
      <c r="C45" t="str">
        <f>TEXT(tblSales[[#This Row],[Date]],"mmmm")</f>
        <v>agosto</v>
      </c>
      <c r="D45" t="s">
        <v>9</v>
      </c>
      <c r="E45" t="s">
        <v>35</v>
      </c>
      <c r="F45" t="s">
        <v>11</v>
      </c>
      <c r="G45">
        <v>247</v>
      </c>
      <c r="H45">
        <v>14.82</v>
      </c>
      <c r="I45">
        <v>10</v>
      </c>
    </row>
    <row r="46" spans="1:9" x14ac:dyDescent="0.25">
      <c r="A46">
        <v>1045</v>
      </c>
      <c r="B46" t="s">
        <v>63</v>
      </c>
      <c r="C46" t="str">
        <f>TEXT(tblSales[[#This Row],[Date]],"mmmm")</f>
        <v>marzo</v>
      </c>
      <c r="D46" t="s">
        <v>13</v>
      </c>
      <c r="E46" t="s">
        <v>35</v>
      </c>
      <c r="F46" t="s">
        <v>11</v>
      </c>
      <c r="G46">
        <v>712</v>
      </c>
      <c r="H46">
        <v>121.04</v>
      </c>
      <c r="I46">
        <v>7</v>
      </c>
    </row>
    <row r="47" spans="1:9" x14ac:dyDescent="0.25">
      <c r="A47">
        <v>1046</v>
      </c>
      <c r="B47" t="s">
        <v>64</v>
      </c>
      <c r="C47" t="str">
        <f>TEXT(tblSales[[#This Row],[Date]],"mmmm")</f>
        <v>noviembre</v>
      </c>
      <c r="D47" t="s">
        <v>9</v>
      </c>
      <c r="E47" t="s">
        <v>10</v>
      </c>
      <c r="F47" t="s">
        <v>11</v>
      </c>
      <c r="G47">
        <v>1425</v>
      </c>
      <c r="H47">
        <v>228</v>
      </c>
      <c r="I47">
        <v>5</v>
      </c>
    </row>
    <row r="48" spans="1:9" x14ac:dyDescent="0.25">
      <c r="A48">
        <v>1047</v>
      </c>
      <c r="B48" t="s">
        <v>65</v>
      </c>
      <c r="C48" t="str">
        <f>TEXT(tblSales[[#This Row],[Date]],"mmmm")</f>
        <v>agosto</v>
      </c>
      <c r="D48" t="s">
        <v>9</v>
      </c>
      <c r="E48" t="s">
        <v>14</v>
      </c>
      <c r="F48" t="s">
        <v>15</v>
      </c>
      <c r="G48">
        <v>79</v>
      </c>
      <c r="H48">
        <v>4.74</v>
      </c>
      <c r="I48">
        <v>8</v>
      </c>
    </row>
    <row r="49" spans="1:9" x14ac:dyDescent="0.25">
      <c r="A49">
        <v>1048</v>
      </c>
      <c r="B49" t="s">
        <v>66</v>
      </c>
      <c r="C49" t="str">
        <f>TEXT(tblSales[[#This Row],[Date]],"mmmm")</f>
        <v>septiembre</v>
      </c>
      <c r="D49" t="s">
        <v>13</v>
      </c>
      <c r="E49" t="s">
        <v>35</v>
      </c>
      <c r="F49" t="s">
        <v>11</v>
      </c>
      <c r="G49">
        <v>130</v>
      </c>
      <c r="H49">
        <v>19.5</v>
      </c>
      <c r="I49">
        <v>10</v>
      </c>
    </row>
    <row r="50" spans="1:9" x14ac:dyDescent="0.25">
      <c r="A50">
        <v>1049</v>
      </c>
      <c r="B50" t="s">
        <v>67</v>
      </c>
      <c r="C50" t="str">
        <f>TEXT(tblSales[[#This Row],[Date]],"mmmm")</f>
        <v>marzo</v>
      </c>
      <c r="D50" t="s">
        <v>26</v>
      </c>
      <c r="E50" t="s">
        <v>33</v>
      </c>
      <c r="F50" t="s">
        <v>15</v>
      </c>
      <c r="G50">
        <v>1306</v>
      </c>
      <c r="H50">
        <v>182.84</v>
      </c>
      <c r="I50">
        <v>6</v>
      </c>
    </row>
    <row r="51" spans="1:9" x14ac:dyDescent="0.25">
      <c r="A51">
        <v>1050</v>
      </c>
      <c r="B51" t="s">
        <v>68</v>
      </c>
      <c r="C51" t="str">
        <f>TEXT(tblSales[[#This Row],[Date]],"mmmm")</f>
        <v>enero</v>
      </c>
      <c r="D51" t="s">
        <v>17</v>
      </c>
      <c r="E51" t="s">
        <v>33</v>
      </c>
      <c r="F51" t="s">
        <v>15</v>
      </c>
      <c r="G51">
        <v>969</v>
      </c>
      <c r="H51">
        <v>125.97</v>
      </c>
      <c r="I51">
        <v>2</v>
      </c>
    </row>
    <row r="52" spans="1:9" x14ac:dyDescent="0.25">
      <c r="A52">
        <v>1051</v>
      </c>
      <c r="B52" t="s">
        <v>69</v>
      </c>
      <c r="C52" t="str">
        <f>TEXT(tblSales[[#This Row],[Date]],"mmmm")</f>
        <v>abril</v>
      </c>
      <c r="D52" t="s">
        <v>26</v>
      </c>
      <c r="E52" t="s">
        <v>33</v>
      </c>
      <c r="F52" t="s">
        <v>15</v>
      </c>
      <c r="G52">
        <v>53</v>
      </c>
      <c r="H52">
        <v>3.18</v>
      </c>
      <c r="I52">
        <v>2</v>
      </c>
    </row>
    <row r="53" spans="1:9" x14ac:dyDescent="0.25">
      <c r="A53">
        <v>1052</v>
      </c>
      <c r="B53" t="s">
        <v>70</v>
      </c>
      <c r="C53" t="str">
        <f>TEXT(tblSales[[#This Row],[Date]],"mmmm")</f>
        <v>marzo</v>
      </c>
      <c r="D53" t="s">
        <v>26</v>
      </c>
      <c r="E53" t="s">
        <v>18</v>
      </c>
      <c r="F53" t="s">
        <v>19</v>
      </c>
      <c r="G53">
        <v>1361</v>
      </c>
      <c r="H53">
        <v>285.81</v>
      </c>
      <c r="I53">
        <v>1</v>
      </c>
    </row>
    <row r="54" spans="1:9" x14ac:dyDescent="0.25">
      <c r="A54">
        <v>1053</v>
      </c>
      <c r="B54" t="s">
        <v>71</v>
      </c>
      <c r="C54" t="str">
        <f>TEXT(tblSales[[#This Row],[Date]],"mmmm")</f>
        <v>enero</v>
      </c>
      <c r="D54" t="s">
        <v>17</v>
      </c>
      <c r="E54" t="s">
        <v>33</v>
      </c>
      <c r="F54" t="s">
        <v>15</v>
      </c>
      <c r="G54">
        <v>809</v>
      </c>
      <c r="H54">
        <v>88.99</v>
      </c>
      <c r="I54">
        <v>7</v>
      </c>
    </row>
    <row r="55" spans="1:9" x14ac:dyDescent="0.25">
      <c r="A55">
        <v>1054</v>
      </c>
      <c r="B55" t="s">
        <v>72</v>
      </c>
      <c r="C55" t="str">
        <f>TEXT(tblSales[[#This Row],[Date]],"mmmm")</f>
        <v>febrero</v>
      </c>
      <c r="D55" t="s">
        <v>17</v>
      </c>
      <c r="E55" t="s">
        <v>18</v>
      </c>
      <c r="F55" t="s">
        <v>19</v>
      </c>
      <c r="G55">
        <v>390</v>
      </c>
      <c r="H55">
        <v>58.5</v>
      </c>
      <c r="I55">
        <v>7</v>
      </c>
    </row>
    <row r="56" spans="1:9" x14ac:dyDescent="0.25">
      <c r="A56">
        <v>1055</v>
      </c>
      <c r="B56" t="s">
        <v>73</v>
      </c>
      <c r="C56" t="str">
        <f>TEXT(tblSales[[#This Row],[Date]],"mmmm")</f>
        <v>febrero</v>
      </c>
      <c r="D56" t="s">
        <v>9</v>
      </c>
      <c r="E56" t="s">
        <v>33</v>
      </c>
      <c r="F56" t="s">
        <v>15</v>
      </c>
      <c r="G56">
        <v>691</v>
      </c>
      <c r="H56">
        <v>172.75</v>
      </c>
      <c r="I56">
        <v>5</v>
      </c>
    </row>
    <row r="57" spans="1:9" x14ac:dyDescent="0.25">
      <c r="A57">
        <v>1056</v>
      </c>
      <c r="B57" t="s">
        <v>74</v>
      </c>
      <c r="C57" t="str">
        <f>TEXT(tblSales[[#This Row],[Date]],"mmmm")</f>
        <v>agosto</v>
      </c>
      <c r="D57" t="s">
        <v>26</v>
      </c>
      <c r="E57" t="s">
        <v>22</v>
      </c>
      <c r="F57" t="s">
        <v>19</v>
      </c>
      <c r="G57">
        <v>1258</v>
      </c>
      <c r="H57">
        <v>125.8</v>
      </c>
      <c r="I57">
        <v>2</v>
      </c>
    </row>
    <row r="58" spans="1:9" x14ac:dyDescent="0.25">
      <c r="A58">
        <v>1057</v>
      </c>
      <c r="B58" t="s">
        <v>75</v>
      </c>
      <c r="C58" t="str">
        <f>TEXT(tblSales[[#This Row],[Date]],"mmmm")</f>
        <v>septiembre</v>
      </c>
      <c r="D58" t="s">
        <v>9</v>
      </c>
      <c r="E58" t="s">
        <v>35</v>
      </c>
      <c r="F58" t="s">
        <v>11</v>
      </c>
      <c r="G58">
        <v>1137</v>
      </c>
      <c r="H58">
        <v>329.73</v>
      </c>
      <c r="I58">
        <v>8</v>
      </c>
    </row>
    <row r="59" spans="1:9" x14ac:dyDescent="0.25">
      <c r="A59">
        <v>1058</v>
      </c>
      <c r="B59" t="s">
        <v>76</v>
      </c>
      <c r="C59" t="str">
        <f>TEXT(tblSales[[#This Row],[Date]],"mmmm")</f>
        <v>marzo</v>
      </c>
      <c r="D59" t="s">
        <v>17</v>
      </c>
      <c r="E59" t="s">
        <v>18</v>
      </c>
      <c r="F59" t="s">
        <v>19</v>
      </c>
      <c r="G59">
        <v>1125</v>
      </c>
      <c r="H59">
        <v>135</v>
      </c>
      <c r="I59">
        <v>4</v>
      </c>
    </row>
    <row r="60" spans="1:9" x14ac:dyDescent="0.25">
      <c r="A60">
        <v>1059</v>
      </c>
      <c r="B60" t="s">
        <v>77</v>
      </c>
      <c r="C60" t="str">
        <f>TEXT(tblSales[[#This Row],[Date]],"mmmm")</f>
        <v>junio</v>
      </c>
      <c r="D60" t="s">
        <v>17</v>
      </c>
      <c r="E60" t="s">
        <v>10</v>
      </c>
      <c r="F60" t="s">
        <v>11</v>
      </c>
      <c r="G60">
        <v>1403</v>
      </c>
      <c r="H60">
        <v>210.45</v>
      </c>
      <c r="I60">
        <v>7</v>
      </c>
    </row>
    <row r="61" spans="1:9" x14ac:dyDescent="0.25">
      <c r="A61">
        <v>1060</v>
      </c>
      <c r="B61" t="s">
        <v>36</v>
      </c>
      <c r="C61" t="str">
        <f>TEXT(tblSales[[#This Row],[Date]],"mmmm")</f>
        <v>agosto</v>
      </c>
      <c r="D61" t="s">
        <v>17</v>
      </c>
      <c r="E61" t="s">
        <v>14</v>
      </c>
      <c r="F61" t="s">
        <v>15</v>
      </c>
      <c r="G61">
        <v>1178</v>
      </c>
      <c r="H61">
        <v>341.62</v>
      </c>
      <c r="I61">
        <v>7</v>
      </c>
    </row>
    <row r="62" spans="1:9" x14ac:dyDescent="0.25">
      <c r="A62">
        <v>1061</v>
      </c>
      <c r="B62" t="s">
        <v>78</v>
      </c>
      <c r="C62" t="str">
        <f>TEXT(tblSales[[#This Row],[Date]],"mmmm")</f>
        <v>mayo</v>
      </c>
      <c r="D62" t="s">
        <v>9</v>
      </c>
      <c r="E62" t="s">
        <v>33</v>
      </c>
      <c r="F62" t="s">
        <v>15</v>
      </c>
      <c r="G62">
        <v>1132</v>
      </c>
      <c r="H62">
        <v>169.8</v>
      </c>
      <c r="I62">
        <v>2</v>
      </c>
    </row>
    <row r="63" spans="1:9" x14ac:dyDescent="0.25">
      <c r="A63">
        <v>1062</v>
      </c>
      <c r="B63" t="s">
        <v>79</v>
      </c>
      <c r="C63" t="str">
        <f>TEXT(tblSales[[#This Row],[Date]],"mmmm")</f>
        <v>marzo</v>
      </c>
      <c r="D63" t="s">
        <v>17</v>
      </c>
      <c r="E63" t="s">
        <v>18</v>
      </c>
      <c r="F63" t="s">
        <v>19</v>
      </c>
      <c r="G63">
        <v>118</v>
      </c>
      <c r="H63">
        <v>15.34</v>
      </c>
      <c r="I63">
        <v>3</v>
      </c>
    </row>
    <row r="64" spans="1:9" x14ac:dyDescent="0.25">
      <c r="A64">
        <v>1063</v>
      </c>
      <c r="B64" t="s">
        <v>80</v>
      </c>
      <c r="C64" t="str">
        <f>TEXT(tblSales[[#This Row],[Date]],"mmmm")</f>
        <v>septiembre</v>
      </c>
      <c r="D64" t="s">
        <v>17</v>
      </c>
      <c r="E64" t="s">
        <v>10</v>
      </c>
      <c r="F64" t="s">
        <v>11</v>
      </c>
      <c r="G64">
        <v>1065</v>
      </c>
      <c r="H64">
        <v>85.2</v>
      </c>
      <c r="I64">
        <v>9</v>
      </c>
    </row>
    <row r="65" spans="1:9" x14ac:dyDescent="0.25">
      <c r="A65">
        <v>1064</v>
      </c>
      <c r="B65" t="s">
        <v>81</v>
      </c>
      <c r="C65" t="str">
        <f>TEXT(tblSales[[#This Row],[Date]],"mmmm")</f>
        <v>diciembre</v>
      </c>
      <c r="D65" t="s">
        <v>9</v>
      </c>
      <c r="E65" t="s">
        <v>18</v>
      </c>
      <c r="F65" t="s">
        <v>19</v>
      </c>
      <c r="G65">
        <v>629</v>
      </c>
      <c r="H65">
        <v>69.19</v>
      </c>
      <c r="I65">
        <v>4</v>
      </c>
    </row>
    <row r="66" spans="1:9" x14ac:dyDescent="0.25">
      <c r="A66">
        <v>1065</v>
      </c>
      <c r="B66" t="s">
        <v>82</v>
      </c>
      <c r="C66" t="str">
        <f>TEXT(tblSales[[#This Row],[Date]],"mmmm")</f>
        <v>septiembre</v>
      </c>
      <c r="D66" t="s">
        <v>13</v>
      </c>
      <c r="E66" t="s">
        <v>14</v>
      </c>
      <c r="F66" t="s">
        <v>15</v>
      </c>
      <c r="G66">
        <v>1072</v>
      </c>
      <c r="H66">
        <v>235.84</v>
      </c>
      <c r="I66">
        <v>2</v>
      </c>
    </row>
    <row r="67" spans="1:9" x14ac:dyDescent="0.25">
      <c r="A67">
        <v>1066</v>
      </c>
      <c r="B67" t="s">
        <v>83</v>
      </c>
      <c r="C67" t="str">
        <f>TEXT(tblSales[[#This Row],[Date]],"mmmm")</f>
        <v>marzo</v>
      </c>
      <c r="D67" t="s">
        <v>9</v>
      </c>
      <c r="E67" t="s">
        <v>14</v>
      </c>
      <c r="F67" t="s">
        <v>15</v>
      </c>
      <c r="G67">
        <v>211</v>
      </c>
      <c r="H67">
        <v>12.66</v>
      </c>
      <c r="I67">
        <v>5</v>
      </c>
    </row>
    <row r="68" spans="1:9" x14ac:dyDescent="0.25">
      <c r="A68">
        <v>1067</v>
      </c>
      <c r="B68" t="s">
        <v>84</v>
      </c>
      <c r="C68" t="str">
        <f>TEXT(tblSales[[#This Row],[Date]],"mmmm")</f>
        <v>agosto</v>
      </c>
      <c r="D68" t="s">
        <v>17</v>
      </c>
      <c r="E68" t="s">
        <v>18</v>
      </c>
      <c r="F68" t="s">
        <v>19</v>
      </c>
      <c r="G68">
        <v>1359</v>
      </c>
      <c r="H68">
        <v>353.34</v>
      </c>
      <c r="I68">
        <v>1</v>
      </c>
    </row>
    <row r="69" spans="1:9" x14ac:dyDescent="0.25">
      <c r="A69">
        <v>1068</v>
      </c>
      <c r="B69" t="s">
        <v>85</v>
      </c>
      <c r="C69" t="str">
        <f>TEXT(tblSales[[#This Row],[Date]],"mmmm")</f>
        <v>julio</v>
      </c>
      <c r="D69" t="s">
        <v>13</v>
      </c>
      <c r="E69" t="s">
        <v>22</v>
      </c>
      <c r="F69" t="s">
        <v>19</v>
      </c>
      <c r="G69">
        <v>196</v>
      </c>
      <c r="H69">
        <v>23.52</v>
      </c>
      <c r="I69">
        <v>1</v>
      </c>
    </row>
    <row r="70" spans="1:9" x14ac:dyDescent="0.25">
      <c r="A70">
        <v>1069</v>
      </c>
      <c r="B70" t="s">
        <v>86</v>
      </c>
      <c r="C70" t="str">
        <f>TEXT(tblSales[[#This Row],[Date]],"mmmm")</f>
        <v>noviembre</v>
      </c>
      <c r="D70" t="s">
        <v>13</v>
      </c>
      <c r="E70" t="s">
        <v>33</v>
      </c>
      <c r="F70" t="s">
        <v>15</v>
      </c>
      <c r="G70">
        <v>916</v>
      </c>
      <c r="H70">
        <v>192.36</v>
      </c>
      <c r="I70">
        <v>2</v>
      </c>
    </row>
    <row r="71" spans="1:9" x14ac:dyDescent="0.25">
      <c r="A71">
        <v>1070</v>
      </c>
      <c r="B71" t="s">
        <v>87</v>
      </c>
      <c r="C71" t="str">
        <f>TEXT(tblSales[[#This Row],[Date]],"mmmm")</f>
        <v>junio</v>
      </c>
      <c r="D71" t="s">
        <v>13</v>
      </c>
      <c r="E71" t="s">
        <v>18</v>
      </c>
      <c r="F71" t="s">
        <v>19</v>
      </c>
      <c r="G71">
        <v>452</v>
      </c>
      <c r="H71">
        <v>103.96</v>
      </c>
      <c r="I71">
        <v>5</v>
      </c>
    </row>
    <row r="72" spans="1:9" x14ac:dyDescent="0.25">
      <c r="A72">
        <v>1071</v>
      </c>
      <c r="B72" t="s">
        <v>88</v>
      </c>
      <c r="C72" t="str">
        <f>TEXT(tblSales[[#This Row],[Date]],"mmmm")</f>
        <v>noviembre</v>
      </c>
      <c r="D72" t="s">
        <v>9</v>
      </c>
      <c r="E72" t="s">
        <v>10</v>
      </c>
      <c r="F72" t="s">
        <v>11</v>
      </c>
      <c r="G72">
        <v>1384</v>
      </c>
      <c r="H72">
        <v>318.32</v>
      </c>
      <c r="I72">
        <v>7</v>
      </c>
    </row>
    <row r="73" spans="1:9" x14ac:dyDescent="0.25">
      <c r="A73">
        <v>1072</v>
      </c>
      <c r="B73" t="s">
        <v>81</v>
      </c>
      <c r="C73" t="str">
        <f>TEXT(tblSales[[#This Row],[Date]],"mmmm")</f>
        <v>diciembre</v>
      </c>
      <c r="D73" t="s">
        <v>26</v>
      </c>
      <c r="E73" t="s">
        <v>18</v>
      </c>
      <c r="F73" t="s">
        <v>19</v>
      </c>
      <c r="G73">
        <v>1091</v>
      </c>
      <c r="H73">
        <v>87.28</v>
      </c>
      <c r="I73">
        <v>3</v>
      </c>
    </row>
    <row r="74" spans="1:9" x14ac:dyDescent="0.25">
      <c r="A74">
        <v>1073</v>
      </c>
      <c r="B74" t="s">
        <v>89</v>
      </c>
      <c r="C74" t="str">
        <f>TEXT(tblSales[[#This Row],[Date]],"mmmm")</f>
        <v>junio</v>
      </c>
      <c r="D74" t="s">
        <v>26</v>
      </c>
      <c r="E74" t="s">
        <v>18</v>
      </c>
      <c r="F74" t="s">
        <v>19</v>
      </c>
      <c r="G74">
        <v>1283</v>
      </c>
      <c r="H74">
        <v>243.77</v>
      </c>
      <c r="I74">
        <v>2</v>
      </c>
    </row>
    <row r="75" spans="1:9" x14ac:dyDescent="0.25">
      <c r="A75">
        <v>1074</v>
      </c>
      <c r="B75" t="s">
        <v>90</v>
      </c>
      <c r="C75" t="str">
        <f>TEXT(tblSales[[#This Row],[Date]],"mmmm")</f>
        <v>enero</v>
      </c>
      <c r="D75" t="s">
        <v>13</v>
      </c>
      <c r="E75" t="s">
        <v>33</v>
      </c>
      <c r="F75" t="s">
        <v>15</v>
      </c>
      <c r="G75">
        <v>666</v>
      </c>
      <c r="H75">
        <v>193.14</v>
      </c>
      <c r="I75">
        <v>8</v>
      </c>
    </row>
    <row r="76" spans="1:9" x14ac:dyDescent="0.25">
      <c r="A76">
        <v>1075</v>
      </c>
      <c r="B76" t="s">
        <v>91</v>
      </c>
      <c r="C76" t="str">
        <f>TEXT(tblSales[[#This Row],[Date]],"mmmm")</f>
        <v>enero</v>
      </c>
      <c r="D76" t="s">
        <v>17</v>
      </c>
      <c r="E76" t="s">
        <v>22</v>
      </c>
      <c r="F76" t="s">
        <v>19</v>
      </c>
      <c r="G76">
        <v>903</v>
      </c>
      <c r="H76">
        <v>72.239999999999995</v>
      </c>
      <c r="I76">
        <v>4</v>
      </c>
    </row>
    <row r="77" spans="1:9" x14ac:dyDescent="0.25">
      <c r="A77">
        <v>1076</v>
      </c>
      <c r="B77" t="s">
        <v>92</v>
      </c>
      <c r="C77" t="str">
        <f>TEXT(tblSales[[#This Row],[Date]],"mmmm")</f>
        <v>diciembre</v>
      </c>
      <c r="D77" t="s">
        <v>9</v>
      </c>
      <c r="E77" t="s">
        <v>35</v>
      </c>
      <c r="F77" t="s">
        <v>11</v>
      </c>
      <c r="G77">
        <v>1142</v>
      </c>
      <c r="H77">
        <v>285.5</v>
      </c>
      <c r="I77">
        <v>8</v>
      </c>
    </row>
    <row r="78" spans="1:9" x14ac:dyDescent="0.25">
      <c r="A78">
        <v>1077</v>
      </c>
      <c r="B78" t="s">
        <v>93</v>
      </c>
      <c r="C78" t="str">
        <f>TEXT(tblSales[[#This Row],[Date]],"mmmm")</f>
        <v>marzo</v>
      </c>
      <c r="D78" t="s">
        <v>13</v>
      </c>
      <c r="E78" t="s">
        <v>14</v>
      </c>
      <c r="F78" t="s">
        <v>15</v>
      </c>
      <c r="G78">
        <v>753</v>
      </c>
      <c r="H78">
        <v>67.77</v>
      </c>
      <c r="I78">
        <v>3</v>
      </c>
    </row>
    <row r="79" spans="1:9" x14ac:dyDescent="0.25">
      <c r="A79">
        <v>1078</v>
      </c>
      <c r="B79" t="s">
        <v>94</v>
      </c>
      <c r="C79" t="str">
        <f>TEXT(tblSales[[#This Row],[Date]],"mmmm")</f>
        <v>abril</v>
      </c>
      <c r="D79" t="s">
        <v>13</v>
      </c>
      <c r="E79" t="s">
        <v>35</v>
      </c>
      <c r="F79" t="s">
        <v>11</v>
      </c>
      <c r="G79">
        <v>991</v>
      </c>
      <c r="H79">
        <v>99.1</v>
      </c>
      <c r="I79">
        <v>7</v>
      </c>
    </row>
    <row r="80" spans="1:9" x14ac:dyDescent="0.25">
      <c r="A80">
        <v>1079</v>
      </c>
      <c r="B80" t="s">
        <v>95</v>
      </c>
      <c r="C80" t="str">
        <f>TEXT(tblSales[[#This Row],[Date]],"mmmm")</f>
        <v>septiembre</v>
      </c>
      <c r="D80" t="s">
        <v>26</v>
      </c>
      <c r="E80" t="s">
        <v>10</v>
      </c>
      <c r="F80" t="s">
        <v>11</v>
      </c>
      <c r="G80">
        <v>973</v>
      </c>
      <c r="H80">
        <v>136.22</v>
      </c>
      <c r="I80">
        <v>1</v>
      </c>
    </row>
    <row r="81" spans="1:9" x14ac:dyDescent="0.25">
      <c r="A81">
        <v>1080</v>
      </c>
      <c r="B81" t="s">
        <v>96</v>
      </c>
      <c r="C81" t="str">
        <f>TEXT(tblSales[[#This Row],[Date]],"mmmm")</f>
        <v>septiembre</v>
      </c>
      <c r="D81" t="s">
        <v>9</v>
      </c>
      <c r="E81" t="s">
        <v>33</v>
      </c>
      <c r="F81" t="s">
        <v>15</v>
      </c>
      <c r="G81">
        <v>1115</v>
      </c>
      <c r="H81">
        <v>211.85</v>
      </c>
      <c r="I81">
        <v>9</v>
      </c>
    </row>
    <row r="82" spans="1:9" x14ac:dyDescent="0.25">
      <c r="A82">
        <v>1081</v>
      </c>
      <c r="B82" t="s">
        <v>97</v>
      </c>
      <c r="C82" t="str">
        <f>TEXT(tblSales[[#This Row],[Date]],"mmmm")</f>
        <v>diciembre</v>
      </c>
      <c r="D82" t="s">
        <v>9</v>
      </c>
      <c r="E82" t="s">
        <v>14</v>
      </c>
      <c r="F82" t="s">
        <v>15</v>
      </c>
      <c r="G82">
        <v>1465</v>
      </c>
      <c r="H82">
        <v>146.5</v>
      </c>
      <c r="I82">
        <v>6</v>
      </c>
    </row>
    <row r="83" spans="1:9" x14ac:dyDescent="0.25">
      <c r="A83">
        <v>1082</v>
      </c>
      <c r="B83" t="s">
        <v>98</v>
      </c>
      <c r="C83" t="str">
        <f>TEXT(tblSales[[#This Row],[Date]],"mmmm")</f>
        <v>agosto</v>
      </c>
      <c r="D83" t="s">
        <v>26</v>
      </c>
      <c r="E83" t="s">
        <v>18</v>
      </c>
      <c r="F83" t="s">
        <v>19</v>
      </c>
      <c r="G83">
        <v>1366</v>
      </c>
      <c r="H83">
        <v>218.56</v>
      </c>
      <c r="I83">
        <v>9</v>
      </c>
    </row>
    <row r="84" spans="1:9" x14ac:dyDescent="0.25">
      <c r="A84">
        <v>1083</v>
      </c>
      <c r="B84" t="s">
        <v>99</v>
      </c>
      <c r="C84" t="str">
        <f>TEXT(tblSales[[#This Row],[Date]],"mmmm")</f>
        <v>enero</v>
      </c>
      <c r="D84" t="s">
        <v>13</v>
      </c>
      <c r="E84" t="s">
        <v>14</v>
      </c>
      <c r="F84" t="s">
        <v>15</v>
      </c>
      <c r="G84">
        <v>1031</v>
      </c>
      <c r="H84">
        <v>92.79</v>
      </c>
      <c r="I84">
        <v>4</v>
      </c>
    </row>
    <row r="85" spans="1:9" x14ac:dyDescent="0.25">
      <c r="A85">
        <v>1084</v>
      </c>
      <c r="B85" t="s">
        <v>100</v>
      </c>
      <c r="C85" t="str">
        <f>TEXT(tblSales[[#This Row],[Date]],"mmmm")</f>
        <v>julio</v>
      </c>
      <c r="D85" t="s">
        <v>17</v>
      </c>
      <c r="E85" t="s">
        <v>18</v>
      </c>
      <c r="F85" t="s">
        <v>19</v>
      </c>
      <c r="G85">
        <v>739</v>
      </c>
      <c r="H85">
        <v>88.68</v>
      </c>
      <c r="I85">
        <v>3</v>
      </c>
    </row>
    <row r="86" spans="1:9" x14ac:dyDescent="0.25">
      <c r="A86">
        <v>1085</v>
      </c>
      <c r="B86" t="s">
        <v>86</v>
      </c>
      <c r="C86" t="str">
        <f>TEXT(tblSales[[#This Row],[Date]],"mmmm")</f>
        <v>noviembre</v>
      </c>
      <c r="D86" t="s">
        <v>17</v>
      </c>
      <c r="E86" t="s">
        <v>14</v>
      </c>
      <c r="F86" t="s">
        <v>15</v>
      </c>
      <c r="G86">
        <v>945</v>
      </c>
      <c r="H86">
        <v>132.30000000000001</v>
      </c>
      <c r="I86">
        <v>6</v>
      </c>
    </row>
    <row r="87" spans="1:9" x14ac:dyDescent="0.25">
      <c r="A87">
        <v>1086</v>
      </c>
      <c r="B87" t="s">
        <v>101</v>
      </c>
      <c r="C87" t="str">
        <f>TEXT(tblSales[[#This Row],[Date]],"mmmm")</f>
        <v>marzo</v>
      </c>
      <c r="D87" t="s">
        <v>17</v>
      </c>
      <c r="E87" t="s">
        <v>22</v>
      </c>
      <c r="F87" t="s">
        <v>19</v>
      </c>
      <c r="G87">
        <v>1429</v>
      </c>
      <c r="H87">
        <v>85.74</v>
      </c>
      <c r="I87">
        <v>6</v>
      </c>
    </row>
    <row r="88" spans="1:9" x14ac:dyDescent="0.25">
      <c r="A88">
        <v>1087</v>
      </c>
      <c r="B88" t="s">
        <v>51</v>
      </c>
      <c r="C88" t="str">
        <f>TEXT(tblSales[[#This Row],[Date]],"mmmm")</f>
        <v>febrero</v>
      </c>
      <c r="D88" t="s">
        <v>13</v>
      </c>
      <c r="E88" t="s">
        <v>35</v>
      </c>
      <c r="F88" t="s">
        <v>11</v>
      </c>
      <c r="G88">
        <v>552</v>
      </c>
      <c r="H88">
        <v>132.47999999999999</v>
      </c>
      <c r="I88">
        <v>2</v>
      </c>
    </row>
    <row r="89" spans="1:9" x14ac:dyDescent="0.25">
      <c r="A89">
        <v>1088</v>
      </c>
      <c r="B89" t="s">
        <v>102</v>
      </c>
      <c r="C89" t="str">
        <f>TEXT(tblSales[[#This Row],[Date]],"mmmm")</f>
        <v>marzo</v>
      </c>
      <c r="D89" t="s">
        <v>13</v>
      </c>
      <c r="E89" t="s">
        <v>14</v>
      </c>
      <c r="F89" t="s">
        <v>15</v>
      </c>
      <c r="G89">
        <v>1453</v>
      </c>
      <c r="H89">
        <v>87.18</v>
      </c>
      <c r="I89">
        <v>7</v>
      </c>
    </row>
    <row r="90" spans="1:9" x14ac:dyDescent="0.25">
      <c r="A90">
        <v>1089</v>
      </c>
      <c r="B90" t="s">
        <v>103</v>
      </c>
      <c r="C90" t="str">
        <f>TEXT(tblSales[[#This Row],[Date]],"mmmm")</f>
        <v>diciembre</v>
      </c>
      <c r="D90" t="s">
        <v>26</v>
      </c>
      <c r="E90" t="s">
        <v>22</v>
      </c>
      <c r="F90" t="s">
        <v>19</v>
      </c>
      <c r="G90">
        <v>1133</v>
      </c>
      <c r="H90">
        <v>226.6</v>
      </c>
      <c r="I90">
        <v>7</v>
      </c>
    </row>
    <row r="91" spans="1:9" x14ac:dyDescent="0.25">
      <c r="A91">
        <v>1090</v>
      </c>
      <c r="B91" t="s">
        <v>104</v>
      </c>
      <c r="C91" t="str">
        <f>TEXT(tblSales[[#This Row],[Date]],"mmmm")</f>
        <v>agosto</v>
      </c>
      <c r="D91" t="s">
        <v>26</v>
      </c>
      <c r="E91" t="s">
        <v>18</v>
      </c>
      <c r="F91" t="s">
        <v>19</v>
      </c>
      <c r="G91">
        <v>87</v>
      </c>
      <c r="H91">
        <v>20.010000000000002</v>
      </c>
      <c r="I91">
        <v>7</v>
      </c>
    </row>
    <row r="92" spans="1:9" x14ac:dyDescent="0.25">
      <c r="A92">
        <v>1091</v>
      </c>
      <c r="B92" t="s">
        <v>105</v>
      </c>
      <c r="C92" t="str">
        <f>TEXT(tblSales[[#This Row],[Date]],"mmmm")</f>
        <v>septiembre</v>
      </c>
      <c r="D92" t="s">
        <v>26</v>
      </c>
      <c r="E92" t="s">
        <v>22</v>
      </c>
      <c r="F92" t="s">
        <v>19</v>
      </c>
      <c r="G92">
        <v>898</v>
      </c>
      <c r="H92">
        <v>269.39999999999998</v>
      </c>
      <c r="I92">
        <v>9</v>
      </c>
    </row>
    <row r="93" spans="1:9" x14ac:dyDescent="0.25">
      <c r="A93">
        <v>1092</v>
      </c>
      <c r="B93" t="s">
        <v>106</v>
      </c>
      <c r="C93" t="str">
        <f>TEXT(tblSales[[#This Row],[Date]],"mmmm")</f>
        <v>octubre</v>
      </c>
      <c r="D93" t="s">
        <v>26</v>
      </c>
      <c r="E93" t="s">
        <v>22</v>
      </c>
      <c r="F93" t="s">
        <v>19</v>
      </c>
      <c r="G93">
        <v>180</v>
      </c>
      <c r="H93">
        <v>39.6</v>
      </c>
      <c r="I93">
        <v>6</v>
      </c>
    </row>
    <row r="94" spans="1:9" x14ac:dyDescent="0.25">
      <c r="A94">
        <v>1093</v>
      </c>
      <c r="B94" t="s">
        <v>107</v>
      </c>
      <c r="C94" t="str">
        <f>TEXT(tblSales[[#This Row],[Date]],"mmmm")</f>
        <v>septiembre</v>
      </c>
      <c r="D94" t="s">
        <v>26</v>
      </c>
      <c r="E94" t="s">
        <v>35</v>
      </c>
      <c r="F94" t="s">
        <v>11</v>
      </c>
      <c r="G94">
        <v>1476</v>
      </c>
      <c r="H94">
        <v>177.12</v>
      </c>
      <c r="I94">
        <v>3</v>
      </c>
    </row>
    <row r="95" spans="1:9" x14ac:dyDescent="0.25">
      <c r="A95">
        <v>1094</v>
      </c>
      <c r="B95" t="s">
        <v>108</v>
      </c>
      <c r="C95" t="str">
        <f>TEXT(tblSales[[#This Row],[Date]],"mmmm")</f>
        <v>diciembre</v>
      </c>
      <c r="D95" t="s">
        <v>17</v>
      </c>
      <c r="E95" t="s">
        <v>18</v>
      </c>
      <c r="F95" t="s">
        <v>19</v>
      </c>
      <c r="G95">
        <v>190</v>
      </c>
      <c r="H95">
        <v>34.200000000000003</v>
      </c>
      <c r="I95">
        <v>9</v>
      </c>
    </row>
    <row r="96" spans="1:9" x14ac:dyDescent="0.25">
      <c r="A96">
        <v>1095</v>
      </c>
      <c r="B96" t="s">
        <v>109</v>
      </c>
      <c r="C96" t="str">
        <f>TEXT(tblSales[[#This Row],[Date]],"mmmm")</f>
        <v>noviembre</v>
      </c>
      <c r="D96" t="s">
        <v>26</v>
      </c>
      <c r="E96" t="s">
        <v>10</v>
      </c>
      <c r="F96" t="s">
        <v>11</v>
      </c>
      <c r="G96">
        <v>1081</v>
      </c>
      <c r="H96">
        <v>75.67</v>
      </c>
      <c r="I96">
        <v>7</v>
      </c>
    </row>
    <row r="97" spans="1:9" x14ac:dyDescent="0.25">
      <c r="A97">
        <v>1096</v>
      </c>
      <c r="B97" t="s">
        <v>110</v>
      </c>
      <c r="C97" t="str">
        <f>TEXT(tblSales[[#This Row],[Date]],"mmmm")</f>
        <v>mayo</v>
      </c>
      <c r="D97" t="s">
        <v>17</v>
      </c>
      <c r="E97" t="s">
        <v>33</v>
      </c>
      <c r="F97" t="s">
        <v>15</v>
      </c>
      <c r="G97">
        <v>1105</v>
      </c>
      <c r="H97">
        <v>132.6</v>
      </c>
      <c r="I97">
        <v>5</v>
      </c>
    </row>
    <row r="98" spans="1:9" x14ac:dyDescent="0.25">
      <c r="A98">
        <v>1097</v>
      </c>
      <c r="B98" t="s">
        <v>111</v>
      </c>
      <c r="C98" t="str">
        <f>TEXT(tblSales[[#This Row],[Date]],"mmmm")</f>
        <v>septiembre</v>
      </c>
      <c r="D98" t="s">
        <v>26</v>
      </c>
      <c r="E98" t="s">
        <v>18</v>
      </c>
      <c r="F98" t="s">
        <v>19</v>
      </c>
      <c r="G98">
        <v>1121</v>
      </c>
      <c r="H98">
        <v>325.08999999999997</v>
      </c>
      <c r="I98">
        <v>1</v>
      </c>
    </row>
    <row r="99" spans="1:9" x14ac:dyDescent="0.25">
      <c r="A99">
        <v>1098</v>
      </c>
      <c r="B99" t="s">
        <v>112</v>
      </c>
      <c r="C99" t="str">
        <f>TEXT(tblSales[[#This Row],[Date]],"mmmm")</f>
        <v>febrero</v>
      </c>
      <c r="D99" t="s">
        <v>13</v>
      </c>
      <c r="E99" t="s">
        <v>35</v>
      </c>
      <c r="F99" t="s">
        <v>11</v>
      </c>
      <c r="G99">
        <v>1387</v>
      </c>
      <c r="H99">
        <v>360.62</v>
      </c>
      <c r="I99">
        <v>1</v>
      </c>
    </row>
    <row r="100" spans="1:9" x14ac:dyDescent="0.25">
      <c r="A100">
        <v>1099</v>
      </c>
      <c r="B100" t="s">
        <v>113</v>
      </c>
      <c r="C100" t="str">
        <f>TEXT(tblSales[[#This Row],[Date]],"mmmm")</f>
        <v>octubre</v>
      </c>
      <c r="D100" t="s">
        <v>9</v>
      </c>
      <c r="E100" t="s">
        <v>35</v>
      </c>
      <c r="F100" t="s">
        <v>11</v>
      </c>
      <c r="G100">
        <v>1450</v>
      </c>
      <c r="H100">
        <v>145</v>
      </c>
      <c r="I100">
        <v>6</v>
      </c>
    </row>
    <row r="101" spans="1:9" x14ac:dyDescent="0.25">
      <c r="A101">
        <v>1100</v>
      </c>
      <c r="B101" t="s">
        <v>109</v>
      </c>
      <c r="C101" t="str">
        <f>TEXT(tblSales[[#This Row],[Date]],"mmmm")</f>
        <v>noviembre</v>
      </c>
      <c r="D101" t="s">
        <v>26</v>
      </c>
      <c r="E101" t="s">
        <v>33</v>
      </c>
      <c r="F101" t="s">
        <v>15</v>
      </c>
      <c r="G101">
        <v>1115</v>
      </c>
      <c r="H101">
        <v>256.45</v>
      </c>
      <c r="I101">
        <v>6</v>
      </c>
    </row>
    <row r="102" spans="1:9" x14ac:dyDescent="0.25">
      <c r="A102">
        <v>1101</v>
      </c>
      <c r="B102" t="s">
        <v>114</v>
      </c>
      <c r="C102" t="str">
        <f>TEXT(tblSales[[#This Row],[Date]],"mmmm")</f>
        <v>diciembre</v>
      </c>
      <c r="D102" t="s">
        <v>17</v>
      </c>
      <c r="E102" t="s">
        <v>22</v>
      </c>
      <c r="F102" t="s">
        <v>19</v>
      </c>
      <c r="G102">
        <v>854</v>
      </c>
      <c r="H102">
        <v>179.34</v>
      </c>
      <c r="I102">
        <v>1</v>
      </c>
    </row>
    <row r="103" spans="1:9" x14ac:dyDescent="0.25">
      <c r="A103">
        <v>1102</v>
      </c>
      <c r="B103" t="s">
        <v>115</v>
      </c>
      <c r="C103" t="str">
        <f>TEXT(tblSales[[#This Row],[Date]],"mmmm")</f>
        <v>septiembre</v>
      </c>
      <c r="D103" t="s">
        <v>13</v>
      </c>
      <c r="E103" t="s">
        <v>18</v>
      </c>
      <c r="F103" t="s">
        <v>19</v>
      </c>
      <c r="G103">
        <v>1380</v>
      </c>
      <c r="H103">
        <v>372.6</v>
      </c>
      <c r="I103">
        <v>10</v>
      </c>
    </row>
    <row r="104" spans="1:9" x14ac:dyDescent="0.25">
      <c r="A104">
        <v>1103</v>
      </c>
      <c r="B104" t="s">
        <v>116</v>
      </c>
      <c r="C104" t="str">
        <f>TEXT(tblSales[[#This Row],[Date]],"mmmm")</f>
        <v>julio</v>
      </c>
      <c r="D104" t="s">
        <v>26</v>
      </c>
      <c r="E104" t="s">
        <v>22</v>
      </c>
      <c r="F104" t="s">
        <v>19</v>
      </c>
      <c r="G104">
        <v>1288</v>
      </c>
      <c r="H104">
        <v>373.52</v>
      </c>
      <c r="I104">
        <v>4</v>
      </c>
    </row>
    <row r="105" spans="1:9" x14ac:dyDescent="0.25">
      <c r="A105">
        <v>1104</v>
      </c>
      <c r="B105" t="s">
        <v>117</v>
      </c>
      <c r="C105" t="str">
        <f>TEXT(tblSales[[#This Row],[Date]],"mmmm")</f>
        <v>octubre</v>
      </c>
      <c r="D105" t="s">
        <v>17</v>
      </c>
      <c r="E105" t="s">
        <v>14</v>
      </c>
      <c r="F105" t="s">
        <v>15</v>
      </c>
      <c r="G105">
        <v>274</v>
      </c>
      <c r="H105">
        <v>27.4</v>
      </c>
      <c r="I105">
        <v>4</v>
      </c>
    </row>
    <row r="106" spans="1:9" x14ac:dyDescent="0.25">
      <c r="A106">
        <v>1105</v>
      </c>
      <c r="B106" t="s">
        <v>118</v>
      </c>
      <c r="C106" t="str">
        <f>TEXT(tblSales[[#This Row],[Date]],"mmmm")</f>
        <v>mayo</v>
      </c>
      <c r="D106" t="s">
        <v>17</v>
      </c>
      <c r="E106" t="s">
        <v>33</v>
      </c>
      <c r="F106" t="s">
        <v>15</v>
      </c>
      <c r="G106">
        <v>1432</v>
      </c>
      <c r="H106">
        <v>272.08</v>
      </c>
      <c r="I106">
        <v>6</v>
      </c>
    </row>
    <row r="107" spans="1:9" x14ac:dyDescent="0.25">
      <c r="A107">
        <v>1106</v>
      </c>
      <c r="B107" t="s">
        <v>119</v>
      </c>
      <c r="C107" t="str">
        <f>TEXT(tblSales[[#This Row],[Date]],"mmmm")</f>
        <v>diciembre</v>
      </c>
      <c r="D107" t="s">
        <v>17</v>
      </c>
      <c r="E107" t="s">
        <v>33</v>
      </c>
      <c r="F107" t="s">
        <v>15</v>
      </c>
      <c r="G107">
        <v>209</v>
      </c>
      <c r="H107">
        <v>43.89</v>
      </c>
      <c r="I107">
        <v>1</v>
      </c>
    </row>
    <row r="108" spans="1:9" x14ac:dyDescent="0.25">
      <c r="A108">
        <v>1107</v>
      </c>
      <c r="B108" t="s">
        <v>120</v>
      </c>
      <c r="C108" t="str">
        <f>TEXT(tblSales[[#This Row],[Date]],"mmmm")</f>
        <v>agosto</v>
      </c>
      <c r="D108" t="s">
        <v>17</v>
      </c>
      <c r="E108" t="s">
        <v>22</v>
      </c>
      <c r="F108" t="s">
        <v>19</v>
      </c>
      <c r="G108">
        <v>940</v>
      </c>
      <c r="H108">
        <v>188</v>
      </c>
      <c r="I108">
        <v>5</v>
      </c>
    </row>
    <row r="109" spans="1:9" x14ac:dyDescent="0.25">
      <c r="A109">
        <v>1108</v>
      </c>
      <c r="B109" t="s">
        <v>121</v>
      </c>
      <c r="C109" t="str">
        <f>TEXT(tblSales[[#This Row],[Date]],"mmmm")</f>
        <v>marzo</v>
      </c>
      <c r="D109" t="s">
        <v>17</v>
      </c>
      <c r="E109" t="s">
        <v>14</v>
      </c>
      <c r="F109" t="s">
        <v>15</v>
      </c>
      <c r="G109">
        <v>876</v>
      </c>
      <c r="H109">
        <v>113.88</v>
      </c>
      <c r="I109">
        <v>9</v>
      </c>
    </row>
    <row r="110" spans="1:9" x14ac:dyDescent="0.25">
      <c r="A110">
        <v>1109</v>
      </c>
      <c r="B110" t="s">
        <v>64</v>
      </c>
      <c r="C110" t="str">
        <f>TEXT(tblSales[[#This Row],[Date]],"mmmm")</f>
        <v>noviembre</v>
      </c>
      <c r="D110" t="s">
        <v>9</v>
      </c>
      <c r="E110" t="s">
        <v>14</v>
      </c>
      <c r="F110" t="s">
        <v>15</v>
      </c>
      <c r="G110">
        <v>1304</v>
      </c>
      <c r="H110">
        <v>130.4</v>
      </c>
      <c r="I110">
        <v>10</v>
      </c>
    </row>
    <row r="111" spans="1:9" x14ac:dyDescent="0.25">
      <c r="A111">
        <v>1110</v>
      </c>
      <c r="B111" t="s">
        <v>111</v>
      </c>
      <c r="C111" t="str">
        <f>TEXT(tblSales[[#This Row],[Date]],"mmmm")</f>
        <v>septiembre</v>
      </c>
      <c r="D111" t="s">
        <v>26</v>
      </c>
      <c r="E111" t="s">
        <v>33</v>
      </c>
      <c r="F111" t="s">
        <v>15</v>
      </c>
      <c r="G111">
        <v>416</v>
      </c>
      <c r="H111">
        <v>95.68</v>
      </c>
      <c r="I111">
        <v>3</v>
      </c>
    </row>
    <row r="112" spans="1:9" x14ac:dyDescent="0.25">
      <c r="A112">
        <v>1111</v>
      </c>
      <c r="B112" t="s">
        <v>72</v>
      </c>
      <c r="C112" t="str">
        <f>TEXT(tblSales[[#This Row],[Date]],"mmmm")</f>
        <v>febrero</v>
      </c>
      <c r="D112" t="s">
        <v>9</v>
      </c>
      <c r="E112" t="s">
        <v>22</v>
      </c>
      <c r="F112" t="s">
        <v>19</v>
      </c>
      <c r="G112">
        <v>479</v>
      </c>
      <c r="H112">
        <v>57.48</v>
      </c>
      <c r="I112">
        <v>8</v>
      </c>
    </row>
    <row r="113" spans="1:9" x14ac:dyDescent="0.25">
      <c r="A113">
        <v>1112</v>
      </c>
      <c r="B113" t="s">
        <v>122</v>
      </c>
      <c r="C113" t="str">
        <f>TEXT(tblSales[[#This Row],[Date]],"mmmm")</f>
        <v>enero</v>
      </c>
      <c r="D113" t="s">
        <v>13</v>
      </c>
      <c r="E113" t="s">
        <v>14</v>
      </c>
      <c r="F113" t="s">
        <v>15</v>
      </c>
      <c r="G113">
        <v>252</v>
      </c>
      <c r="H113">
        <v>15.12</v>
      </c>
      <c r="I113">
        <v>5</v>
      </c>
    </row>
    <row r="114" spans="1:9" x14ac:dyDescent="0.25">
      <c r="A114">
        <v>1113</v>
      </c>
      <c r="B114" t="s">
        <v>123</v>
      </c>
      <c r="C114" t="str">
        <f>TEXT(tblSales[[#This Row],[Date]],"mmmm")</f>
        <v>abril</v>
      </c>
      <c r="D114" t="s">
        <v>26</v>
      </c>
      <c r="E114" t="s">
        <v>22</v>
      </c>
      <c r="F114" t="s">
        <v>19</v>
      </c>
      <c r="G114">
        <v>158</v>
      </c>
      <c r="H114">
        <v>9.48</v>
      </c>
      <c r="I114">
        <v>9</v>
      </c>
    </row>
    <row r="115" spans="1:9" x14ac:dyDescent="0.25">
      <c r="A115">
        <v>1114</v>
      </c>
      <c r="B115" t="s">
        <v>85</v>
      </c>
      <c r="C115" t="str">
        <f>TEXT(tblSales[[#This Row],[Date]],"mmmm")</f>
        <v>julio</v>
      </c>
      <c r="D115" t="s">
        <v>17</v>
      </c>
      <c r="E115" t="s">
        <v>33</v>
      </c>
      <c r="F115" t="s">
        <v>15</v>
      </c>
      <c r="G115">
        <v>1271</v>
      </c>
      <c r="H115">
        <v>305.04000000000002</v>
      </c>
      <c r="I115">
        <v>5</v>
      </c>
    </row>
    <row r="116" spans="1:9" x14ac:dyDescent="0.25">
      <c r="A116">
        <v>1115</v>
      </c>
      <c r="B116" t="s">
        <v>112</v>
      </c>
      <c r="C116" t="str">
        <f>TEXT(tblSales[[#This Row],[Date]],"mmmm")</f>
        <v>febrero</v>
      </c>
      <c r="D116" t="s">
        <v>26</v>
      </c>
      <c r="E116" t="s">
        <v>33</v>
      </c>
      <c r="F116" t="s">
        <v>15</v>
      </c>
      <c r="G116">
        <v>767</v>
      </c>
      <c r="H116">
        <v>76.7</v>
      </c>
      <c r="I116">
        <v>9</v>
      </c>
    </row>
    <row r="117" spans="1:9" x14ac:dyDescent="0.25">
      <c r="A117">
        <v>1116</v>
      </c>
      <c r="B117" t="s">
        <v>72</v>
      </c>
      <c r="C117" t="str">
        <f>TEXT(tblSales[[#This Row],[Date]],"mmmm")</f>
        <v>febrero</v>
      </c>
      <c r="D117" t="s">
        <v>13</v>
      </c>
      <c r="E117" t="s">
        <v>10</v>
      </c>
      <c r="F117" t="s">
        <v>11</v>
      </c>
      <c r="G117">
        <v>687</v>
      </c>
      <c r="H117">
        <v>89.31</v>
      </c>
      <c r="I117">
        <v>8</v>
      </c>
    </row>
    <row r="118" spans="1:9" x14ac:dyDescent="0.25">
      <c r="A118">
        <v>1117</v>
      </c>
      <c r="B118" t="s">
        <v>124</v>
      </c>
      <c r="C118" t="str">
        <f>TEXT(tblSales[[#This Row],[Date]],"mmmm")</f>
        <v>abril</v>
      </c>
      <c r="D118" t="s">
        <v>17</v>
      </c>
      <c r="E118" t="s">
        <v>22</v>
      </c>
      <c r="F118" t="s">
        <v>19</v>
      </c>
      <c r="G118">
        <v>155</v>
      </c>
      <c r="H118">
        <v>34.1</v>
      </c>
      <c r="I118">
        <v>2</v>
      </c>
    </row>
    <row r="119" spans="1:9" x14ac:dyDescent="0.25">
      <c r="A119">
        <v>1118</v>
      </c>
      <c r="B119" t="s">
        <v>125</v>
      </c>
      <c r="C119" t="str">
        <f>TEXT(tblSales[[#This Row],[Date]],"mmmm")</f>
        <v>marzo</v>
      </c>
      <c r="D119" t="s">
        <v>17</v>
      </c>
      <c r="E119" t="s">
        <v>14</v>
      </c>
      <c r="F119" t="s">
        <v>15</v>
      </c>
      <c r="G119">
        <v>153</v>
      </c>
      <c r="H119">
        <v>15.3</v>
      </c>
      <c r="I119">
        <v>10</v>
      </c>
    </row>
    <row r="120" spans="1:9" x14ac:dyDescent="0.25">
      <c r="A120">
        <v>1119</v>
      </c>
      <c r="B120" t="s">
        <v>126</v>
      </c>
      <c r="C120" t="str">
        <f>TEXT(tblSales[[#This Row],[Date]],"mmmm")</f>
        <v>diciembre</v>
      </c>
      <c r="D120" t="s">
        <v>17</v>
      </c>
      <c r="E120" t="s">
        <v>22</v>
      </c>
      <c r="F120" t="s">
        <v>19</v>
      </c>
      <c r="G120">
        <v>733</v>
      </c>
      <c r="H120">
        <v>117.28</v>
      </c>
      <c r="I120">
        <v>2</v>
      </c>
    </row>
    <row r="121" spans="1:9" x14ac:dyDescent="0.25">
      <c r="A121">
        <v>1120</v>
      </c>
      <c r="B121" t="s">
        <v>119</v>
      </c>
      <c r="C121" t="str">
        <f>TEXT(tblSales[[#This Row],[Date]],"mmmm")</f>
        <v>diciembre</v>
      </c>
      <c r="D121" t="s">
        <v>9</v>
      </c>
      <c r="E121" t="s">
        <v>14</v>
      </c>
      <c r="F121" t="s">
        <v>15</v>
      </c>
      <c r="G121">
        <v>1202</v>
      </c>
      <c r="H121">
        <v>264.44</v>
      </c>
      <c r="I121">
        <v>6</v>
      </c>
    </row>
    <row r="122" spans="1:9" x14ac:dyDescent="0.25">
      <c r="A122">
        <v>1121</v>
      </c>
      <c r="B122" t="s">
        <v>42</v>
      </c>
      <c r="C122" t="str">
        <f>TEXT(tblSales[[#This Row],[Date]],"mmmm")</f>
        <v>octubre</v>
      </c>
      <c r="D122" t="s">
        <v>9</v>
      </c>
      <c r="E122" t="s">
        <v>33</v>
      </c>
      <c r="F122" t="s">
        <v>15</v>
      </c>
      <c r="G122">
        <v>231</v>
      </c>
      <c r="H122">
        <v>23.1</v>
      </c>
      <c r="I122">
        <v>7</v>
      </c>
    </row>
    <row r="123" spans="1:9" x14ac:dyDescent="0.25">
      <c r="A123">
        <v>1122</v>
      </c>
      <c r="B123" t="s">
        <v>96</v>
      </c>
      <c r="C123" t="str">
        <f>TEXT(tblSales[[#This Row],[Date]],"mmmm")</f>
        <v>septiembre</v>
      </c>
      <c r="D123" t="s">
        <v>17</v>
      </c>
      <c r="E123" t="s">
        <v>33</v>
      </c>
      <c r="F123" t="s">
        <v>15</v>
      </c>
      <c r="G123">
        <v>1344</v>
      </c>
      <c r="H123">
        <v>309.12</v>
      </c>
      <c r="I123">
        <v>6</v>
      </c>
    </row>
    <row r="124" spans="1:9" x14ac:dyDescent="0.25">
      <c r="A124">
        <v>1123</v>
      </c>
      <c r="B124" t="s">
        <v>127</v>
      </c>
      <c r="C124" t="str">
        <f>TEXT(tblSales[[#This Row],[Date]],"mmmm")</f>
        <v>mayo</v>
      </c>
      <c r="D124" t="s">
        <v>13</v>
      </c>
      <c r="E124" t="s">
        <v>33</v>
      </c>
      <c r="F124" t="s">
        <v>15</v>
      </c>
      <c r="G124">
        <v>578</v>
      </c>
      <c r="H124">
        <v>161.84</v>
      </c>
      <c r="I124">
        <v>1</v>
      </c>
    </row>
    <row r="125" spans="1:9" x14ac:dyDescent="0.25">
      <c r="A125">
        <v>1124</v>
      </c>
      <c r="B125" t="s">
        <v>112</v>
      </c>
      <c r="C125" t="str">
        <f>TEXT(tblSales[[#This Row],[Date]],"mmmm")</f>
        <v>febrero</v>
      </c>
      <c r="D125" t="s">
        <v>26</v>
      </c>
      <c r="E125" t="s">
        <v>14</v>
      </c>
      <c r="F125" t="s">
        <v>15</v>
      </c>
      <c r="G125">
        <v>1121</v>
      </c>
      <c r="H125">
        <v>67.260000000000005</v>
      </c>
      <c r="I125">
        <v>10</v>
      </c>
    </row>
    <row r="126" spans="1:9" x14ac:dyDescent="0.25">
      <c r="A126">
        <v>1125</v>
      </c>
      <c r="B126" t="s">
        <v>128</v>
      </c>
      <c r="C126" t="str">
        <f>TEXT(tblSales[[#This Row],[Date]],"mmmm")</f>
        <v>diciembre</v>
      </c>
      <c r="D126" t="s">
        <v>26</v>
      </c>
      <c r="E126" t="s">
        <v>10</v>
      </c>
      <c r="F126" t="s">
        <v>11</v>
      </c>
      <c r="G126">
        <v>1237</v>
      </c>
      <c r="H126">
        <v>259.77</v>
      </c>
      <c r="I126">
        <v>2</v>
      </c>
    </row>
    <row r="127" spans="1:9" x14ac:dyDescent="0.25">
      <c r="A127">
        <v>1126</v>
      </c>
      <c r="B127" t="s">
        <v>31</v>
      </c>
      <c r="C127" t="str">
        <f>TEXT(tblSales[[#This Row],[Date]],"mmmm")</f>
        <v>febrero</v>
      </c>
      <c r="D127" t="s">
        <v>26</v>
      </c>
      <c r="E127" t="s">
        <v>35</v>
      </c>
      <c r="F127" t="s">
        <v>11</v>
      </c>
      <c r="G127">
        <v>471</v>
      </c>
      <c r="H127">
        <v>122.46</v>
      </c>
      <c r="I127">
        <v>8</v>
      </c>
    </row>
    <row r="128" spans="1:9" x14ac:dyDescent="0.25">
      <c r="A128">
        <v>1127</v>
      </c>
      <c r="B128" t="s">
        <v>129</v>
      </c>
      <c r="C128" t="str">
        <f>TEXT(tblSales[[#This Row],[Date]],"mmmm")</f>
        <v>septiembre</v>
      </c>
      <c r="D128" t="s">
        <v>26</v>
      </c>
      <c r="E128" t="s">
        <v>18</v>
      </c>
      <c r="F128" t="s">
        <v>19</v>
      </c>
      <c r="G128">
        <v>913</v>
      </c>
      <c r="H128">
        <v>182.6</v>
      </c>
      <c r="I128">
        <v>9</v>
      </c>
    </row>
    <row r="129" spans="1:9" x14ac:dyDescent="0.25">
      <c r="A129">
        <v>1128</v>
      </c>
      <c r="B129" t="s">
        <v>130</v>
      </c>
      <c r="C129" t="str">
        <f>TEXT(tblSales[[#This Row],[Date]],"mmmm")</f>
        <v>septiembre</v>
      </c>
      <c r="D129" t="s">
        <v>13</v>
      </c>
      <c r="E129" t="s">
        <v>33</v>
      </c>
      <c r="F129" t="s">
        <v>15</v>
      </c>
      <c r="G129">
        <v>1044</v>
      </c>
      <c r="H129">
        <v>177.48</v>
      </c>
      <c r="I129">
        <v>5</v>
      </c>
    </row>
    <row r="130" spans="1:9" x14ac:dyDescent="0.25">
      <c r="A130">
        <v>1129</v>
      </c>
      <c r="B130" t="s">
        <v>131</v>
      </c>
      <c r="C130" t="str">
        <f>TEXT(tblSales[[#This Row],[Date]],"mmmm")</f>
        <v>febrero</v>
      </c>
      <c r="D130" t="s">
        <v>17</v>
      </c>
      <c r="E130" t="s">
        <v>22</v>
      </c>
      <c r="F130" t="s">
        <v>19</v>
      </c>
      <c r="G130">
        <v>302</v>
      </c>
      <c r="H130">
        <v>51.34</v>
      </c>
      <c r="I130">
        <v>1</v>
      </c>
    </row>
    <row r="131" spans="1:9" x14ac:dyDescent="0.25">
      <c r="A131">
        <v>1130</v>
      </c>
      <c r="B131" t="s">
        <v>132</v>
      </c>
      <c r="C131" t="str">
        <f>TEXT(tblSales[[#This Row],[Date]],"mmmm")</f>
        <v>junio</v>
      </c>
      <c r="D131" t="s">
        <v>26</v>
      </c>
      <c r="E131" t="s">
        <v>14</v>
      </c>
      <c r="F131" t="s">
        <v>15</v>
      </c>
      <c r="G131">
        <v>759</v>
      </c>
      <c r="H131">
        <v>68.31</v>
      </c>
      <c r="I131">
        <v>5</v>
      </c>
    </row>
    <row r="132" spans="1:9" x14ac:dyDescent="0.25">
      <c r="A132">
        <v>1131</v>
      </c>
      <c r="B132" t="s">
        <v>30</v>
      </c>
      <c r="C132" t="str">
        <f>TEXT(tblSales[[#This Row],[Date]],"mmmm")</f>
        <v>enero</v>
      </c>
      <c r="D132" t="s">
        <v>17</v>
      </c>
      <c r="E132" t="s">
        <v>14</v>
      </c>
      <c r="F132" t="s">
        <v>15</v>
      </c>
      <c r="G132">
        <v>955</v>
      </c>
      <c r="H132">
        <v>200.55</v>
      </c>
      <c r="I132">
        <v>4</v>
      </c>
    </row>
    <row r="133" spans="1:9" x14ac:dyDescent="0.25">
      <c r="A133">
        <v>1132</v>
      </c>
      <c r="B133" t="s">
        <v>133</v>
      </c>
      <c r="C133" t="str">
        <f>TEXT(tblSales[[#This Row],[Date]],"mmmm")</f>
        <v>abril</v>
      </c>
      <c r="D133" t="s">
        <v>9</v>
      </c>
      <c r="E133" t="s">
        <v>33</v>
      </c>
      <c r="F133" t="s">
        <v>15</v>
      </c>
      <c r="G133">
        <v>488</v>
      </c>
      <c r="H133">
        <v>126.88</v>
      </c>
      <c r="I133">
        <v>3</v>
      </c>
    </row>
    <row r="134" spans="1:9" x14ac:dyDescent="0.25">
      <c r="A134">
        <v>1133</v>
      </c>
      <c r="B134" t="s">
        <v>134</v>
      </c>
      <c r="C134" t="str">
        <f>TEXT(tblSales[[#This Row],[Date]],"mmmm")</f>
        <v>noviembre</v>
      </c>
      <c r="D134" t="s">
        <v>26</v>
      </c>
      <c r="E134" t="s">
        <v>22</v>
      </c>
      <c r="F134" t="s">
        <v>19</v>
      </c>
      <c r="G134">
        <v>1207</v>
      </c>
      <c r="H134">
        <v>60.35</v>
      </c>
      <c r="I134">
        <v>7</v>
      </c>
    </row>
    <row r="135" spans="1:9" x14ac:dyDescent="0.25">
      <c r="A135">
        <v>1134</v>
      </c>
      <c r="B135" t="s">
        <v>12</v>
      </c>
      <c r="C135" t="str">
        <f>TEXT(tblSales[[#This Row],[Date]],"mmmm")</f>
        <v>julio</v>
      </c>
      <c r="D135" t="s">
        <v>26</v>
      </c>
      <c r="E135" t="s">
        <v>18</v>
      </c>
      <c r="F135" t="s">
        <v>19</v>
      </c>
      <c r="G135">
        <v>939</v>
      </c>
      <c r="H135">
        <v>131.46</v>
      </c>
      <c r="I135">
        <v>2</v>
      </c>
    </row>
    <row r="136" spans="1:9" x14ac:dyDescent="0.25">
      <c r="A136">
        <v>1135</v>
      </c>
      <c r="B136" t="s">
        <v>135</v>
      </c>
      <c r="C136" t="str">
        <f>TEXT(tblSales[[#This Row],[Date]],"mmmm")</f>
        <v>abril</v>
      </c>
      <c r="D136" t="s">
        <v>9</v>
      </c>
      <c r="E136" t="s">
        <v>33</v>
      </c>
      <c r="F136" t="s">
        <v>15</v>
      </c>
      <c r="G136">
        <v>520</v>
      </c>
      <c r="H136">
        <v>119.6</v>
      </c>
      <c r="I136">
        <v>2</v>
      </c>
    </row>
    <row r="137" spans="1:9" x14ac:dyDescent="0.25">
      <c r="A137">
        <v>1136</v>
      </c>
      <c r="B137" t="s">
        <v>136</v>
      </c>
      <c r="C137" t="str">
        <f>TEXT(tblSales[[#This Row],[Date]],"mmmm")</f>
        <v>enero</v>
      </c>
      <c r="D137" t="s">
        <v>17</v>
      </c>
      <c r="E137" t="s">
        <v>14</v>
      </c>
      <c r="F137" t="s">
        <v>15</v>
      </c>
      <c r="G137">
        <v>1003</v>
      </c>
      <c r="H137">
        <v>160.47999999999999</v>
      </c>
      <c r="I137">
        <v>5</v>
      </c>
    </row>
    <row r="138" spans="1:9" x14ac:dyDescent="0.25">
      <c r="A138">
        <v>1137</v>
      </c>
      <c r="B138" t="s">
        <v>137</v>
      </c>
      <c r="C138" t="str">
        <f>TEXT(tblSales[[#This Row],[Date]],"mmmm")</f>
        <v>mayo</v>
      </c>
      <c r="D138" t="s">
        <v>17</v>
      </c>
      <c r="E138" t="s">
        <v>14</v>
      </c>
      <c r="F138" t="s">
        <v>15</v>
      </c>
      <c r="G138">
        <v>309</v>
      </c>
      <c r="H138">
        <v>86.52</v>
      </c>
      <c r="I138">
        <v>2</v>
      </c>
    </row>
    <row r="139" spans="1:9" x14ac:dyDescent="0.25">
      <c r="A139">
        <v>1138</v>
      </c>
      <c r="B139" t="s">
        <v>76</v>
      </c>
      <c r="C139" t="str">
        <f>TEXT(tblSales[[#This Row],[Date]],"mmmm")</f>
        <v>marzo</v>
      </c>
      <c r="D139" t="s">
        <v>13</v>
      </c>
      <c r="E139" t="s">
        <v>33</v>
      </c>
      <c r="F139" t="s">
        <v>15</v>
      </c>
      <c r="G139">
        <v>743</v>
      </c>
      <c r="H139">
        <v>185.75</v>
      </c>
      <c r="I139">
        <v>2</v>
      </c>
    </row>
    <row r="140" spans="1:9" x14ac:dyDescent="0.25">
      <c r="A140">
        <v>1139</v>
      </c>
      <c r="B140" t="s">
        <v>39</v>
      </c>
      <c r="C140" t="str">
        <f>TEXT(tblSales[[#This Row],[Date]],"mmmm")</f>
        <v>agosto</v>
      </c>
      <c r="D140" t="s">
        <v>26</v>
      </c>
      <c r="E140" t="s">
        <v>35</v>
      </c>
      <c r="F140" t="s">
        <v>11</v>
      </c>
      <c r="G140">
        <v>155</v>
      </c>
      <c r="H140">
        <v>44.95</v>
      </c>
      <c r="I140">
        <v>1</v>
      </c>
    </row>
    <row r="141" spans="1:9" x14ac:dyDescent="0.25">
      <c r="A141">
        <v>1140</v>
      </c>
      <c r="B141" t="s">
        <v>138</v>
      </c>
      <c r="C141" t="str">
        <f>TEXT(tblSales[[#This Row],[Date]],"mmmm")</f>
        <v>septiembre</v>
      </c>
      <c r="D141" t="s">
        <v>9</v>
      </c>
      <c r="E141" t="s">
        <v>14</v>
      </c>
      <c r="F141" t="s">
        <v>15</v>
      </c>
      <c r="G141">
        <v>437</v>
      </c>
      <c r="H141">
        <v>96.14</v>
      </c>
      <c r="I141">
        <v>1</v>
      </c>
    </row>
    <row r="142" spans="1:9" x14ac:dyDescent="0.25">
      <c r="A142">
        <v>1141</v>
      </c>
      <c r="B142" t="s">
        <v>102</v>
      </c>
      <c r="C142" t="str">
        <f>TEXT(tblSales[[#This Row],[Date]],"mmmm")</f>
        <v>marzo</v>
      </c>
      <c r="D142" t="s">
        <v>9</v>
      </c>
      <c r="E142" t="s">
        <v>35</v>
      </c>
      <c r="F142" t="s">
        <v>11</v>
      </c>
      <c r="G142">
        <v>1083</v>
      </c>
      <c r="H142">
        <v>314.07</v>
      </c>
      <c r="I142">
        <v>5</v>
      </c>
    </row>
    <row r="143" spans="1:9" x14ac:dyDescent="0.25">
      <c r="A143">
        <v>1142</v>
      </c>
      <c r="B143" t="s">
        <v>139</v>
      </c>
      <c r="C143" t="str">
        <f>TEXT(tblSales[[#This Row],[Date]],"mmmm")</f>
        <v>mayo</v>
      </c>
      <c r="D143" t="s">
        <v>17</v>
      </c>
      <c r="E143" t="s">
        <v>10</v>
      </c>
      <c r="F143" t="s">
        <v>11</v>
      </c>
      <c r="G143">
        <v>72</v>
      </c>
      <c r="H143">
        <v>3.6</v>
      </c>
      <c r="I143">
        <v>9</v>
      </c>
    </row>
    <row r="144" spans="1:9" x14ac:dyDescent="0.25">
      <c r="A144">
        <v>1143</v>
      </c>
      <c r="B144" t="s">
        <v>140</v>
      </c>
      <c r="C144" t="str">
        <f>TEXT(tblSales[[#This Row],[Date]],"mmmm")</f>
        <v>octubre</v>
      </c>
      <c r="D144" t="s">
        <v>13</v>
      </c>
      <c r="E144" t="s">
        <v>14</v>
      </c>
      <c r="F144" t="s">
        <v>15</v>
      </c>
      <c r="G144">
        <v>233</v>
      </c>
      <c r="H144">
        <v>67.569999999999993</v>
      </c>
      <c r="I144">
        <v>2</v>
      </c>
    </row>
    <row r="145" spans="1:9" x14ac:dyDescent="0.25">
      <c r="A145">
        <v>1144</v>
      </c>
      <c r="B145" t="s">
        <v>141</v>
      </c>
      <c r="C145" t="str">
        <f>TEXT(tblSales[[#This Row],[Date]],"mmmm")</f>
        <v>diciembre</v>
      </c>
      <c r="D145" t="s">
        <v>13</v>
      </c>
      <c r="E145" t="s">
        <v>14</v>
      </c>
      <c r="F145" t="s">
        <v>15</v>
      </c>
      <c r="G145">
        <v>1051</v>
      </c>
      <c r="H145">
        <v>52.55</v>
      </c>
      <c r="I145">
        <v>10</v>
      </c>
    </row>
    <row r="146" spans="1:9" x14ac:dyDescent="0.25">
      <c r="A146">
        <v>1145</v>
      </c>
      <c r="B146" t="s">
        <v>142</v>
      </c>
      <c r="C146" t="str">
        <f>TEXT(tblSales[[#This Row],[Date]],"mmmm")</f>
        <v>noviembre</v>
      </c>
      <c r="D146" t="s">
        <v>13</v>
      </c>
      <c r="E146" t="s">
        <v>14</v>
      </c>
      <c r="F146" t="s">
        <v>15</v>
      </c>
      <c r="G146">
        <v>477</v>
      </c>
      <c r="H146">
        <v>28.62</v>
      </c>
      <c r="I146">
        <v>5</v>
      </c>
    </row>
    <row r="147" spans="1:9" x14ac:dyDescent="0.25">
      <c r="A147">
        <v>1146</v>
      </c>
      <c r="B147" t="s">
        <v>88</v>
      </c>
      <c r="C147" t="str">
        <f>TEXT(tblSales[[#This Row],[Date]],"mmmm")</f>
        <v>noviembre</v>
      </c>
      <c r="D147" t="s">
        <v>13</v>
      </c>
      <c r="E147" t="s">
        <v>33</v>
      </c>
      <c r="F147" t="s">
        <v>15</v>
      </c>
      <c r="G147">
        <v>608</v>
      </c>
      <c r="H147">
        <v>91.2</v>
      </c>
      <c r="I147">
        <v>8</v>
      </c>
    </row>
    <row r="148" spans="1:9" x14ac:dyDescent="0.25">
      <c r="A148">
        <v>1147</v>
      </c>
      <c r="B148" t="s">
        <v>104</v>
      </c>
      <c r="C148" t="str">
        <f>TEXT(tblSales[[#This Row],[Date]],"mmmm")</f>
        <v>agosto</v>
      </c>
      <c r="D148" t="s">
        <v>9</v>
      </c>
      <c r="E148" t="s">
        <v>14</v>
      </c>
      <c r="F148" t="s">
        <v>15</v>
      </c>
      <c r="G148">
        <v>366</v>
      </c>
      <c r="H148">
        <v>51.24</v>
      </c>
      <c r="I148">
        <v>2</v>
      </c>
    </row>
    <row r="149" spans="1:9" x14ac:dyDescent="0.25">
      <c r="A149">
        <v>1148</v>
      </c>
      <c r="B149" t="s">
        <v>143</v>
      </c>
      <c r="C149" t="str">
        <f>TEXT(tblSales[[#This Row],[Date]],"mmmm")</f>
        <v>octubre</v>
      </c>
      <c r="D149" t="s">
        <v>26</v>
      </c>
      <c r="E149" t="s">
        <v>14</v>
      </c>
      <c r="F149" t="s">
        <v>15</v>
      </c>
      <c r="G149">
        <v>894</v>
      </c>
      <c r="H149">
        <v>223.5</v>
      </c>
      <c r="I149">
        <v>1</v>
      </c>
    </row>
    <row r="150" spans="1:9" x14ac:dyDescent="0.25">
      <c r="A150">
        <v>1149</v>
      </c>
      <c r="B150" t="s">
        <v>144</v>
      </c>
      <c r="C150" t="str">
        <f>TEXT(tblSales[[#This Row],[Date]],"mmmm")</f>
        <v>julio</v>
      </c>
      <c r="D150" t="s">
        <v>17</v>
      </c>
      <c r="E150" t="s">
        <v>14</v>
      </c>
      <c r="F150" t="s">
        <v>15</v>
      </c>
      <c r="G150">
        <v>1399</v>
      </c>
      <c r="H150">
        <v>349.75</v>
      </c>
      <c r="I150">
        <v>10</v>
      </c>
    </row>
    <row r="151" spans="1:9" x14ac:dyDescent="0.25">
      <c r="A151">
        <v>1150</v>
      </c>
      <c r="B151" t="s">
        <v>145</v>
      </c>
      <c r="C151" t="str">
        <f>TEXT(tblSales[[#This Row],[Date]],"mmmm")</f>
        <v>marzo</v>
      </c>
      <c r="D151" t="s">
        <v>9</v>
      </c>
      <c r="E151" t="s">
        <v>22</v>
      </c>
      <c r="F151" t="s">
        <v>19</v>
      </c>
      <c r="G151">
        <v>1300</v>
      </c>
      <c r="H151">
        <v>221</v>
      </c>
      <c r="I151">
        <v>3</v>
      </c>
    </row>
    <row r="152" spans="1:9" x14ac:dyDescent="0.25">
      <c r="A152">
        <v>1151</v>
      </c>
      <c r="B152" t="s">
        <v>12</v>
      </c>
      <c r="C152" t="str">
        <f>TEXT(tblSales[[#This Row],[Date]],"mmmm")</f>
        <v>julio</v>
      </c>
      <c r="D152" t="s">
        <v>26</v>
      </c>
      <c r="E152" t="s">
        <v>14</v>
      </c>
      <c r="F152" t="s">
        <v>15</v>
      </c>
      <c r="G152">
        <v>641</v>
      </c>
      <c r="H152">
        <v>83.33</v>
      </c>
      <c r="I152">
        <v>5</v>
      </c>
    </row>
    <row r="153" spans="1:9" x14ac:dyDescent="0.25">
      <c r="A153">
        <v>1152</v>
      </c>
      <c r="B153" t="s">
        <v>146</v>
      </c>
      <c r="C153" t="str">
        <f>TEXT(tblSales[[#This Row],[Date]],"mmmm")</f>
        <v>noviembre</v>
      </c>
      <c r="D153" t="s">
        <v>26</v>
      </c>
      <c r="E153" t="s">
        <v>14</v>
      </c>
      <c r="F153" t="s">
        <v>15</v>
      </c>
      <c r="G153">
        <v>37</v>
      </c>
      <c r="H153">
        <v>11.1</v>
      </c>
      <c r="I153">
        <v>2</v>
      </c>
    </row>
    <row r="154" spans="1:9" x14ac:dyDescent="0.25">
      <c r="A154">
        <v>1153</v>
      </c>
      <c r="B154" t="s">
        <v>147</v>
      </c>
      <c r="C154" t="str">
        <f>TEXT(tblSales[[#This Row],[Date]],"mmmm")</f>
        <v>octubre</v>
      </c>
      <c r="D154" t="s">
        <v>17</v>
      </c>
      <c r="E154" t="s">
        <v>22</v>
      </c>
      <c r="F154" t="s">
        <v>19</v>
      </c>
      <c r="G154">
        <v>763</v>
      </c>
      <c r="H154">
        <v>129.71</v>
      </c>
      <c r="I154">
        <v>7</v>
      </c>
    </row>
    <row r="155" spans="1:9" x14ac:dyDescent="0.25">
      <c r="A155">
        <v>1154</v>
      </c>
      <c r="B155" t="s">
        <v>148</v>
      </c>
      <c r="C155" t="str">
        <f>TEXT(tblSales[[#This Row],[Date]],"mmmm")</f>
        <v>octubre</v>
      </c>
      <c r="D155" t="s">
        <v>26</v>
      </c>
      <c r="E155" t="s">
        <v>35</v>
      </c>
      <c r="F155" t="s">
        <v>11</v>
      </c>
      <c r="G155">
        <v>90</v>
      </c>
      <c r="H155">
        <v>26.1</v>
      </c>
      <c r="I155">
        <v>2</v>
      </c>
    </row>
    <row r="156" spans="1:9" x14ac:dyDescent="0.25">
      <c r="A156">
        <v>1155</v>
      </c>
      <c r="B156" t="s">
        <v>149</v>
      </c>
      <c r="C156" t="str">
        <f>TEXT(tblSales[[#This Row],[Date]],"mmmm")</f>
        <v>mayo</v>
      </c>
      <c r="D156" t="s">
        <v>13</v>
      </c>
      <c r="E156" t="s">
        <v>10</v>
      </c>
      <c r="F156" t="s">
        <v>11</v>
      </c>
      <c r="G156">
        <v>912</v>
      </c>
      <c r="H156">
        <v>182.4</v>
      </c>
      <c r="I156">
        <v>10</v>
      </c>
    </row>
    <row r="157" spans="1:9" x14ac:dyDescent="0.25">
      <c r="A157">
        <v>1156</v>
      </c>
      <c r="B157" t="s">
        <v>150</v>
      </c>
      <c r="C157" t="str">
        <f>TEXT(tblSales[[#This Row],[Date]],"mmmm")</f>
        <v>octubre</v>
      </c>
      <c r="D157" t="s">
        <v>17</v>
      </c>
      <c r="E157" t="s">
        <v>10</v>
      </c>
      <c r="F157" t="s">
        <v>11</v>
      </c>
      <c r="G157">
        <v>407</v>
      </c>
      <c r="H157">
        <v>40.700000000000003</v>
      </c>
      <c r="I157">
        <v>10</v>
      </c>
    </row>
    <row r="158" spans="1:9" x14ac:dyDescent="0.25">
      <c r="A158">
        <v>1157</v>
      </c>
      <c r="B158" t="s">
        <v>101</v>
      </c>
      <c r="C158" t="str">
        <f>TEXT(tblSales[[#This Row],[Date]],"mmmm")</f>
        <v>marzo</v>
      </c>
      <c r="D158" t="s">
        <v>26</v>
      </c>
      <c r="E158" t="s">
        <v>10</v>
      </c>
      <c r="F158" t="s">
        <v>11</v>
      </c>
      <c r="G158">
        <v>1257</v>
      </c>
      <c r="H158">
        <v>226.26</v>
      </c>
      <c r="I158">
        <v>4</v>
      </c>
    </row>
    <row r="159" spans="1:9" x14ac:dyDescent="0.25">
      <c r="A159">
        <v>1158</v>
      </c>
      <c r="B159" t="s">
        <v>131</v>
      </c>
      <c r="C159" t="str">
        <f>TEXT(tblSales[[#This Row],[Date]],"mmmm")</f>
        <v>febrero</v>
      </c>
      <c r="D159" t="s">
        <v>9</v>
      </c>
      <c r="E159" t="s">
        <v>33</v>
      </c>
      <c r="F159" t="s">
        <v>15</v>
      </c>
      <c r="G159">
        <v>951</v>
      </c>
      <c r="H159">
        <v>161.66999999999999</v>
      </c>
      <c r="I159">
        <v>4</v>
      </c>
    </row>
    <row r="160" spans="1:9" x14ac:dyDescent="0.25">
      <c r="A160">
        <v>1159</v>
      </c>
      <c r="B160" t="s">
        <v>151</v>
      </c>
      <c r="C160" t="str">
        <f>TEXT(tblSales[[#This Row],[Date]],"mmmm")</f>
        <v>octubre</v>
      </c>
      <c r="D160" t="s">
        <v>13</v>
      </c>
      <c r="E160" t="s">
        <v>35</v>
      </c>
      <c r="F160" t="s">
        <v>11</v>
      </c>
      <c r="G160">
        <v>429</v>
      </c>
      <c r="H160">
        <v>98.67</v>
      </c>
      <c r="I160">
        <v>10</v>
      </c>
    </row>
    <row r="161" spans="1:9" x14ac:dyDescent="0.25">
      <c r="A161">
        <v>1160</v>
      </c>
      <c r="B161" t="s">
        <v>99</v>
      </c>
      <c r="C161" t="str">
        <f>TEXT(tblSales[[#This Row],[Date]],"mmmm")</f>
        <v>enero</v>
      </c>
      <c r="D161" t="s">
        <v>9</v>
      </c>
      <c r="E161" t="s">
        <v>35</v>
      </c>
      <c r="F161" t="s">
        <v>11</v>
      </c>
      <c r="G161">
        <v>1472</v>
      </c>
      <c r="H161">
        <v>206.08</v>
      </c>
      <c r="I161">
        <v>8</v>
      </c>
    </row>
    <row r="162" spans="1:9" x14ac:dyDescent="0.25">
      <c r="A162">
        <v>1161</v>
      </c>
      <c r="B162" t="s">
        <v>115</v>
      </c>
      <c r="C162" t="str">
        <f>TEXT(tblSales[[#This Row],[Date]],"mmmm")</f>
        <v>septiembre</v>
      </c>
      <c r="D162" t="s">
        <v>9</v>
      </c>
      <c r="E162" t="s">
        <v>18</v>
      </c>
      <c r="F162" t="s">
        <v>19</v>
      </c>
      <c r="G162">
        <v>1064</v>
      </c>
      <c r="H162">
        <v>138.32</v>
      </c>
      <c r="I162">
        <v>1</v>
      </c>
    </row>
    <row r="163" spans="1:9" x14ac:dyDescent="0.25">
      <c r="A163">
        <v>1162</v>
      </c>
      <c r="B163" t="s">
        <v>152</v>
      </c>
      <c r="C163" t="str">
        <f>TEXT(tblSales[[#This Row],[Date]],"mmmm")</f>
        <v>septiembre</v>
      </c>
      <c r="D163" t="s">
        <v>9</v>
      </c>
      <c r="E163" t="s">
        <v>10</v>
      </c>
      <c r="F163" t="s">
        <v>11</v>
      </c>
      <c r="G163">
        <v>1494</v>
      </c>
      <c r="H163">
        <v>298.8</v>
      </c>
      <c r="I163">
        <v>7</v>
      </c>
    </row>
    <row r="164" spans="1:9" x14ac:dyDescent="0.25">
      <c r="A164">
        <v>1163</v>
      </c>
      <c r="B164" t="s">
        <v>153</v>
      </c>
      <c r="C164" t="str">
        <f>TEXT(tblSales[[#This Row],[Date]],"mmmm")</f>
        <v>marzo</v>
      </c>
      <c r="D164" t="s">
        <v>13</v>
      </c>
      <c r="E164" t="s">
        <v>14</v>
      </c>
      <c r="F164" t="s">
        <v>15</v>
      </c>
      <c r="G164">
        <v>1001</v>
      </c>
      <c r="H164">
        <v>150.15</v>
      </c>
      <c r="I164">
        <v>10</v>
      </c>
    </row>
    <row r="165" spans="1:9" x14ac:dyDescent="0.25">
      <c r="A165">
        <v>1164</v>
      </c>
      <c r="B165" t="s">
        <v>154</v>
      </c>
      <c r="C165" t="str">
        <f>TEXT(tblSales[[#This Row],[Date]],"mmmm")</f>
        <v>febrero</v>
      </c>
      <c r="D165" t="s">
        <v>13</v>
      </c>
      <c r="E165" t="s">
        <v>22</v>
      </c>
      <c r="F165" t="s">
        <v>19</v>
      </c>
      <c r="G165">
        <v>1418</v>
      </c>
      <c r="H165">
        <v>269.42</v>
      </c>
      <c r="I165">
        <v>8</v>
      </c>
    </row>
    <row r="166" spans="1:9" x14ac:dyDescent="0.25">
      <c r="A166">
        <v>1165</v>
      </c>
      <c r="B166" t="s">
        <v>155</v>
      </c>
      <c r="C166" t="str">
        <f>TEXT(tblSales[[#This Row],[Date]],"mmmm")</f>
        <v>mayo</v>
      </c>
      <c r="D166" t="s">
        <v>9</v>
      </c>
      <c r="E166" t="s">
        <v>22</v>
      </c>
      <c r="F166" t="s">
        <v>19</v>
      </c>
      <c r="G166">
        <v>449</v>
      </c>
      <c r="H166">
        <v>76.33</v>
      </c>
      <c r="I166">
        <v>6</v>
      </c>
    </row>
    <row r="167" spans="1:9" x14ac:dyDescent="0.25">
      <c r="A167">
        <v>1166</v>
      </c>
      <c r="B167" t="s">
        <v>156</v>
      </c>
      <c r="C167" t="str">
        <f>TEXT(tblSales[[#This Row],[Date]],"mmmm")</f>
        <v>abril</v>
      </c>
      <c r="D167" t="s">
        <v>13</v>
      </c>
      <c r="E167" t="s">
        <v>14</v>
      </c>
      <c r="F167" t="s">
        <v>15</v>
      </c>
      <c r="G167">
        <v>662</v>
      </c>
      <c r="H167">
        <v>152.26</v>
      </c>
      <c r="I167">
        <v>9</v>
      </c>
    </row>
    <row r="168" spans="1:9" x14ac:dyDescent="0.25">
      <c r="A168">
        <v>1167</v>
      </c>
      <c r="B168" t="s">
        <v>57</v>
      </c>
      <c r="C168" t="str">
        <f>TEXT(tblSales[[#This Row],[Date]],"mmmm")</f>
        <v>marzo</v>
      </c>
      <c r="D168" t="s">
        <v>17</v>
      </c>
      <c r="E168" t="s">
        <v>35</v>
      </c>
      <c r="F168" t="s">
        <v>11</v>
      </c>
      <c r="G168">
        <v>302</v>
      </c>
      <c r="H168">
        <v>15.1</v>
      </c>
      <c r="I168">
        <v>4</v>
      </c>
    </row>
    <row r="169" spans="1:9" x14ac:dyDescent="0.25">
      <c r="A169">
        <v>1168</v>
      </c>
      <c r="B169" t="s">
        <v>157</v>
      </c>
      <c r="C169" t="str">
        <f>TEXT(tblSales[[#This Row],[Date]],"mmmm")</f>
        <v>enero</v>
      </c>
      <c r="D169" t="s">
        <v>17</v>
      </c>
      <c r="E169" t="s">
        <v>10</v>
      </c>
      <c r="F169" t="s">
        <v>11</v>
      </c>
      <c r="G169">
        <v>983</v>
      </c>
      <c r="H169">
        <v>58.98</v>
      </c>
      <c r="I169">
        <v>9</v>
      </c>
    </row>
    <row r="170" spans="1:9" x14ac:dyDescent="0.25">
      <c r="A170">
        <v>1169</v>
      </c>
      <c r="B170" t="s">
        <v>151</v>
      </c>
      <c r="C170" t="str">
        <f>TEXT(tblSales[[#This Row],[Date]],"mmmm")</f>
        <v>octubre</v>
      </c>
      <c r="D170" t="s">
        <v>9</v>
      </c>
      <c r="E170" t="s">
        <v>22</v>
      </c>
      <c r="F170" t="s">
        <v>19</v>
      </c>
      <c r="G170">
        <v>407</v>
      </c>
      <c r="H170">
        <v>81.400000000000006</v>
      </c>
      <c r="I170">
        <v>3</v>
      </c>
    </row>
    <row r="171" spans="1:9" x14ac:dyDescent="0.25">
      <c r="A171">
        <v>1170</v>
      </c>
      <c r="B171" t="s">
        <v>105</v>
      </c>
      <c r="C171" t="str">
        <f>TEXT(tblSales[[#This Row],[Date]],"mmmm")</f>
        <v>septiembre</v>
      </c>
      <c r="D171" t="s">
        <v>13</v>
      </c>
      <c r="E171" t="s">
        <v>35</v>
      </c>
      <c r="F171" t="s">
        <v>11</v>
      </c>
      <c r="G171">
        <v>758</v>
      </c>
      <c r="H171">
        <v>68.22</v>
      </c>
      <c r="I171">
        <v>9</v>
      </c>
    </row>
    <row r="172" spans="1:9" x14ac:dyDescent="0.25">
      <c r="A172">
        <v>1171</v>
      </c>
      <c r="B172" t="s">
        <v>158</v>
      </c>
      <c r="C172" t="str">
        <f>TEXT(tblSales[[#This Row],[Date]],"mmmm")</f>
        <v>agosto</v>
      </c>
      <c r="D172" t="s">
        <v>13</v>
      </c>
      <c r="E172" t="s">
        <v>10</v>
      </c>
      <c r="F172" t="s">
        <v>11</v>
      </c>
      <c r="G172">
        <v>1135</v>
      </c>
      <c r="H172">
        <v>238.35</v>
      </c>
      <c r="I172">
        <v>9</v>
      </c>
    </row>
    <row r="173" spans="1:9" x14ac:dyDescent="0.25">
      <c r="A173">
        <v>1172</v>
      </c>
      <c r="B173" t="s">
        <v>31</v>
      </c>
      <c r="C173" t="str">
        <f>TEXT(tblSales[[#This Row],[Date]],"mmmm")</f>
        <v>febrero</v>
      </c>
      <c r="D173" t="s">
        <v>9</v>
      </c>
      <c r="E173" t="s">
        <v>10</v>
      </c>
      <c r="F173" t="s">
        <v>11</v>
      </c>
      <c r="G173">
        <v>850</v>
      </c>
      <c r="H173">
        <v>59.5</v>
      </c>
      <c r="I173">
        <v>1</v>
      </c>
    </row>
    <row r="174" spans="1:9" x14ac:dyDescent="0.25">
      <c r="A174">
        <v>1173</v>
      </c>
      <c r="B174" t="s">
        <v>159</v>
      </c>
      <c r="C174" t="str">
        <f>TEXT(tblSales[[#This Row],[Date]],"mmmm")</f>
        <v>octubre</v>
      </c>
      <c r="D174" t="s">
        <v>9</v>
      </c>
      <c r="E174" t="s">
        <v>35</v>
      </c>
      <c r="F174" t="s">
        <v>11</v>
      </c>
      <c r="G174">
        <v>530</v>
      </c>
      <c r="H174">
        <v>137.80000000000001</v>
      </c>
      <c r="I174">
        <v>10</v>
      </c>
    </row>
    <row r="175" spans="1:9" x14ac:dyDescent="0.25">
      <c r="A175">
        <v>1174</v>
      </c>
      <c r="B175" t="s">
        <v>160</v>
      </c>
      <c r="C175" t="str">
        <f>TEXT(tblSales[[#This Row],[Date]],"mmmm")</f>
        <v>marzo</v>
      </c>
      <c r="D175" t="s">
        <v>17</v>
      </c>
      <c r="E175" t="s">
        <v>33</v>
      </c>
      <c r="F175" t="s">
        <v>15</v>
      </c>
      <c r="G175">
        <v>1111</v>
      </c>
      <c r="H175">
        <v>322.19</v>
      </c>
      <c r="I175">
        <v>3</v>
      </c>
    </row>
    <row r="176" spans="1:9" x14ac:dyDescent="0.25">
      <c r="A176">
        <v>1175</v>
      </c>
      <c r="B176" t="s">
        <v>131</v>
      </c>
      <c r="C176" t="str">
        <f>TEXT(tblSales[[#This Row],[Date]],"mmmm")</f>
        <v>febrero</v>
      </c>
      <c r="D176" t="s">
        <v>26</v>
      </c>
      <c r="E176" t="s">
        <v>18</v>
      </c>
      <c r="F176" t="s">
        <v>19</v>
      </c>
      <c r="G176">
        <v>879</v>
      </c>
      <c r="H176">
        <v>114.27</v>
      </c>
      <c r="I176">
        <v>3</v>
      </c>
    </row>
    <row r="177" spans="1:9" x14ac:dyDescent="0.25">
      <c r="A177">
        <v>1176</v>
      </c>
      <c r="B177" t="s">
        <v>161</v>
      </c>
      <c r="C177" t="str">
        <f>TEXT(tblSales[[#This Row],[Date]],"mmmm")</f>
        <v>marzo</v>
      </c>
      <c r="D177" t="s">
        <v>9</v>
      </c>
      <c r="E177" t="s">
        <v>18</v>
      </c>
      <c r="F177" t="s">
        <v>19</v>
      </c>
      <c r="G177">
        <v>1016</v>
      </c>
      <c r="H177">
        <v>172.72</v>
      </c>
      <c r="I177">
        <v>1</v>
      </c>
    </row>
    <row r="178" spans="1:9" x14ac:dyDescent="0.25">
      <c r="A178">
        <v>1177</v>
      </c>
      <c r="B178" t="s">
        <v>73</v>
      </c>
      <c r="C178" t="str">
        <f>TEXT(tblSales[[#This Row],[Date]],"mmmm")</f>
        <v>febrero</v>
      </c>
      <c r="D178" t="s">
        <v>9</v>
      </c>
      <c r="E178" t="s">
        <v>14</v>
      </c>
      <c r="F178" t="s">
        <v>15</v>
      </c>
      <c r="G178">
        <v>1422</v>
      </c>
      <c r="H178">
        <v>255.96</v>
      </c>
      <c r="I178">
        <v>9</v>
      </c>
    </row>
    <row r="179" spans="1:9" x14ac:dyDescent="0.25">
      <c r="A179">
        <v>1178</v>
      </c>
      <c r="B179" t="s">
        <v>162</v>
      </c>
      <c r="C179" t="str">
        <f>TEXT(tblSales[[#This Row],[Date]],"mmmm")</f>
        <v>marzo</v>
      </c>
      <c r="D179" t="s">
        <v>13</v>
      </c>
      <c r="E179" t="s">
        <v>14</v>
      </c>
      <c r="F179" t="s">
        <v>15</v>
      </c>
      <c r="G179">
        <v>1370</v>
      </c>
      <c r="H179">
        <v>232.9</v>
      </c>
      <c r="I179">
        <v>10</v>
      </c>
    </row>
    <row r="180" spans="1:9" x14ac:dyDescent="0.25">
      <c r="A180">
        <v>1179</v>
      </c>
      <c r="B180" t="s">
        <v>91</v>
      </c>
      <c r="C180" t="str">
        <f>TEXT(tblSales[[#This Row],[Date]],"mmmm")</f>
        <v>enero</v>
      </c>
      <c r="D180" t="s">
        <v>9</v>
      </c>
      <c r="E180" t="s">
        <v>22</v>
      </c>
      <c r="F180" t="s">
        <v>19</v>
      </c>
      <c r="G180">
        <v>165</v>
      </c>
      <c r="H180">
        <v>23.1</v>
      </c>
      <c r="I180">
        <v>9</v>
      </c>
    </row>
    <row r="181" spans="1:9" x14ac:dyDescent="0.25">
      <c r="A181">
        <v>1180</v>
      </c>
      <c r="B181" t="s">
        <v>163</v>
      </c>
      <c r="C181" t="str">
        <f>TEXT(tblSales[[#This Row],[Date]],"mmmm")</f>
        <v>marzo</v>
      </c>
      <c r="D181" t="s">
        <v>17</v>
      </c>
      <c r="E181" t="s">
        <v>35</v>
      </c>
      <c r="F181" t="s">
        <v>11</v>
      </c>
      <c r="G181">
        <v>1183</v>
      </c>
      <c r="H181">
        <v>165.62</v>
      </c>
      <c r="I181">
        <v>2</v>
      </c>
    </row>
    <row r="182" spans="1:9" x14ac:dyDescent="0.25">
      <c r="A182">
        <v>1181</v>
      </c>
      <c r="B182" t="s">
        <v>39</v>
      </c>
      <c r="C182" t="str">
        <f>TEXT(tblSales[[#This Row],[Date]],"mmmm")</f>
        <v>agosto</v>
      </c>
      <c r="D182" t="s">
        <v>13</v>
      </c>
      <c r="E182" t="s">
        <v>33</v>
      </c>
      <c r="F182" t="s">
        <v>15</v>
      </c>
      <c r="G182">
        <v>140</v>
      </c>
      <c r="H182">
        <v>7</v>
      </c>
      <c r="I182">
        <v>8</v>
      </c>
    </row>
    <row r="183" spans="1:9" x14ac:dyDescent="0.25">
      <c r="A183">
        <v>1182</v>
      </c>
      <c r="B183" t="s">
        <v>164</v>
      </c>
      <c r="C183" t="str">
        <f>TEXT(tblSales[[#This Row],[Date]],"mmmm")</f>
        <v>marzo</v>
      </c>
      <c r="D183" t="s">
        <v>9</v>
      </c>
      <c r="E183" t="s">
        <v>18</v>
      </c>
      <c r="F183" t="s">
        <v>19</v>
      </c>
      <c r="G183">
        <v>846</v>
      </c>
      <c r="H183">
        <v>76.14</v>
      </c>
      <c r="I183">
        <v>6</v>
      </c>
    </row>
    <row r="184" spans="1:9" x14ac:dyDescent="0.25">
      <c r="A184">
        <v>1183</v>
      </c>
      <c r="B184" t="s">
        <v>165</v>
      </c>
      <c r="C184" t="str">
        <f>TEXT(tblSales[[#This Row],[Date]],"mmmm")</f>
        <v>julio</v>
      </c>
      <c r="D184" t="s">
        <v>17</v>
      </c>
      <c r="E184" t="s">
        <v>10</v>
      </c>
      <c r="F184" t="s">
        <v>11</v>
      </c>
      <c r="G184">
        <v>65</v>
      </c>
      <c r="H184">
        <v>18.850000000000001</v>
      </c>
      <c r="I184">
        <v>4</v>
      </c>
    </row>
    <row r="185" spans="1:9" x14ac:dyDescent="0.25">
      <c r="A185">
        <v>1184</v>
      </c>
      <c r="B185" t="s">
        <v>166</v>
      </c>
      <c r="C185" t="str">
        <f>TEXT(tblSales[[#This Row],[Date]],"mmmm")</f>
        <v>agosto</v>
      </c>
      <c r="D185" t="s">
        <v>13</v>
      </c>
      <c r="E185" t="s">
        <v>35</v>
      </c>
      <c r="F185" t="s">
        <v>11</v>
      </c>
      <c r="G185">
        <v>847</v>
      </c>
      <c r="H185">
        <v>110.11</v>
      </c>
      <c r="I185">
        <v>4</v>
      </c>
    </row>
    <row r="186" spans="1:9" x14ac:dyDescent="0.25">
      <c r="A186">
        <v>1185</v>
      </c>
      <c r="B186" t="s">
        <v>158</v>
      </c>
      <c r="C186" t="str">
        <f>TEXT(tblSales[[#This Row],[Date]],"mmmm")</f>
        <v>agosto</v>
      </c>
      <c r="D186" t="s">
        <v>17</v>
      </c>
      <c r="E186" t="s">
        <v>10</v>
      </c>
      <c r="F186" t="s">
        <v>11</v>
      </c>
      <c r="G186">
        <v>1287</v>
      </c>
      <c r="H186">
        <v>321.75</v>
      </c>
      <c r="I186">
        <v>8</v>
      </c>
    </row>
    <row r="187" spans="1:9" x14ac:dyDescent="0.25">
      <c r="A187">
        <v>1186</v>
      </c>
      <c r="B187" t="s">
        <v>167</v>
      </c>
      <c r="C187" t="str">
        <f>TEXT(tblSales[[#This Row],[Date]],"mmmm")</f>
        <v>mayo</v>
      </c>
      <c r="D187" t="s">
        <v>9</v>
      </c>
      <c r="E187" t="s">
        <v>18</v>
      </c>
      <c r="F187" t="s">
        <v>19</v>
      </c>
      <c r="G187">
        <v>129</v>
      </c>
      <c r="H187">
        <v>11.61</v>
      </c>
      <c r="I187">
        <v>9</v>
      </c>
    </row>
    <row r="188" spans="1:9" x14ac:dyDescent="0.25">
      <c r="A188">
        <v>1187</v>
      </c>
      <c r="B188" t="s">
        <v>70</v>
      </c>
      <c r="C188" t="str">
        <f>TEXT(tblSales[[#This Row],[Date]],"mmmm")</f>
        <v>marzo</v>
      </c>
      <c r="D188" t="s">
        <v>17</v>
      </c>
      <c r="E188" t="s">
        <v>14</v>
      </c>
      <c r="F188" t="s">
        <v>15</v>
      </c>
      <c r="G188">
        <v>631</v>
      </c>
      <c r="H188">
        <v>182.99</v>
      </c>
      <c r="I188">
        <v>2</v>
      </c>
    </row>
    <row r="189" spans="1:9" x14ac:dyDescent="0.25">
      <c r="A189">
        <v>1188</v>
      </c>
      <c r="B189" t="s">
        <v>106</v>
      </c>
      <c r="C189" t="str">
        <f>TEXT(tblSales[[#This Row],[Date]],"mmmm")</f>
        <v>octubre</v>
      </c>
      <c r="D189" t="s">
        <v>9</v>
      </c>
      <c r="E189" t="s">
        <v>22</v>
      </c>
      <c r="F189" t="s">
        <v>19</v>
      </c>
      <c r="G189">
        <v>1418</v>
      </c>
      <c r="H189">
        <v>127.62</v>
      </c>
      <c r="I189">
        <v>6</v>
      </c>
    </row>
    <row r="190" spans="1:9" x14ac:dyDescent="0.25">
      <c r="A190">
        <v>1189</v>
      </c>
      <c r="B190" t="s">
        <v>168</v>
      </c>
      <c r="C190" t="str">
        <f>TEXT(tblSales[[#This Row],[Date]],"mmmm")</f>
        <v>junio</v>
      </c>
      <c r="D190" t="s">
        <v>13</v>
      </c>
      <c r="E190" t="s">
        <v>35</v>
      </c>
      <c r="F190" t="s">
        <v>11</v>
      </c>
      <c r="G190">
        <v>1193</v>
      </c>
      <c r="H190">
        <v>95.44</v>
      </c>
      <c r="I190">
        <v>2</v>
      </c>
    </row>
    <row r="191" spans="1:9" x14ac:dyDescent="0.25">
      <c r="A191">
        <v>1190</v>
      </c>
      <c r="B191" t="s">
        <v>76</v>
      </c>
      <c r="C191" t="str">
        <f>TEXT(tblSales[[#This Row],[Date]],"mmmm")</f>
        <v>marzo</v>
      </c>
      <c r="D191" t="s">
        <v>9</v>
      </c>
      <c r="E191" t="s">
        <v>35</v>
      </c>
      <c r="F191" t="s">
        <v>11</v>
      </c>
      <c r="G191">
        <v>70</v>
      </c>
      <c r="H191">
        <v>8.4</v>
      </c>
      <c r="I191">
        <v>5</v>
      </c>
    </row>
    <row r="192" spans="1:9" x14ac:dyDescent="0.25">
      <c r="A192">
        <v>1191</v>
      </c>
      <c r="B192" t="s">
        <v>169</v>
      </c>
      <c r="C192" t="str">
        <f>TEXT(tblSales[[#This Row],[Date]],"mmmm")</f>
        <v>enero</v>
      </c>
      <c r="D192" t="s">
        <v>13</v>
      </c>
      <c r="E192" t="s">
        <v>22</v>
      </c>
      <c r="F192" t="s">
        <v>19</v>
      </c>
      <c r="G192">
        <v>1327</v>
      </c>
      <c r="H192">
        <v>345.02</v>
      </c>
      <c r="I192">
        <v>7</v>
      </c>
    </row>
    <row r="193" spans="1:9" x14ac:dyDescent="0.25">
      <c r="A193">
        <v>1192</v>
      </c>
      <c r="B193" t="s">
        <v>28</v>
      </c>
      <c r="C193" t="str">
        <f>TEXT(tblSales[[#This Row],[Date]],"mmmm")</f>
        <v>febrero</v>
      </c>
      <c r="D193" t="s">
        <v>9</v>
      </c>
      <c r="E193" t="s">
        <v>22</v>
      </c>
      <c r="F193" t="s">
        <v>19</v>
      </c>
      <c r="G193">
        <v>1080</v>
      </c>
      <c r="H193">
        <v>64.8</v>
      </c>
      <c r="I193">
        <v>10</v>
      </c>
    </row>
    <row r="194" spans="1:9" x14ac:dyDescent="0.25">
      <c r="A194">
        <v>1193</v>
      </c>
      <c r="B194" t="s">
        <v>62</v>
      </c>
      <c r="C194" t="str">
        <f>TEXT(tblSales[[#This Row],[Date]],"mmmm")</f>
        <v>agosto</v>
      </c>
      <c r="D194" t="s">
        <v>9</v>
      </c>
      <c r="E194" t="s">
        <v>35</v>
      </c>
      <c r="F194" t="s">
        <v>11</v>
      </c>
      <c r="G194">
        <v>867</v>
      </c>
      <c r="H194">
        <v>242.76</v>
      </c>
      <c r="I194">
        <v>2</v>
      </c>
    </row>
    <row r="195" spans="1:9" x14ac:dyDescent="0.25">
      <c r="A195">
        <v>1194</v>
      </c>
      <c r="B195" t="s">
        <v>170</v>
      </c>
      <c r="C195" t="str">
        <f>TEXT(tblSales[[#This Row],[Date]],"mmmm")</f>
        <v>diciembre</v>
      </c>
      <c r="D195" t="s">
        <v>26</v>
      </c>
      <c r="E195" t="s">
        <v>18</v>
      </c>
      <c r="F195" t="s">
        <v>19</v>
      </c>
      <c r="G195">
        <v>778</v>
      </c>
      <c r="H195">
        <v>194.5</v>
      </c>
      <c r="I195">
        <v>7</v>
      </c>
    </row>
    <row r="196" spans="1:9" x14ac:dyDescent="0.25">
      <c r="A196">
        <v>1195</v>
      </c>
      <c r="B196" t="s">
        <v>171</v>
      </c>
      <c r="C196" t="str">
        <f>TEXT(tblSales[[#This Row],[Date]],"mmmm")</f>
        <v>julio</v>
      </c>
      <c r="D196" t="s">
        <v>13</v>
      </c>
      <c r="E196" t="s">
        <v>10</v>
      </c>
      <c r="F196" t="s">
        <v>11</v>
      </c>
      <c r="G196">
        <v>1264</v>
      </c>
      <c r="H196">
        <v>353.92</v>
      </c>
      <c r="I196">
        <v>3</v>
      </c>
    </row>
    <row r="197" spans="1:9" x14ac:dyDescent="0.25">
      <c r="A197">
        <v>1196</v>
      </c>
      <c r="B197" t="s">
        <v>114</v>
      </c>
      <c r="C197" t="str">
        <f>TEXT(tblSales[[#This Row],[Date]],"mmmm")</f>
        <v>diciembre</v>
      </c>
      <c r="D197" t="s">
        <v>13</v>
      </c>
      <c r="E197" t="s">
        <v>18</v>
      </c>
      <c r="F197" t="s">
        <v>19</v>
      </c>
      <c r="G197">
        <v>64</v>
      </c>
      <c r="H197">
        <v>10.24</v>
      </c>
      <c r="I197">
        <v>1</v>
      </c>
    </row>
    <row r="198" spans="1:9" x14ac:dyDescent="0.25">
      <c r="A198">
        <v>1197</v>
      </c>
      <c r="B198" t="s">
        <v>172</v>
      </c>
      <c r="C198" t="str">
        <f>TEXT(tblSales[[#This Row],[Date]],"mmmm")</f>
        <v>octubre</v>
      </c>
      <c r="D198" t="s">
        <v>17</v>
      </c>
      <c r="E198" t="s">
        <v>10</v>
      </c>
      <c r="F198" t="s">
        <v>11</v>
      </c>
      <c r="G198">
        <v>152</v>
      </c>
      <c r="H198">
        <v>19.760000000000002</v>
      </c>
      <c r="I198">
        <v>8</v>
      </c>
    </row>
    <row r="199" spans="1:9" x14ac:dyDescent="0.25">
      <c r="A199">
        <v>1198</v>
      </c>
      <c r="B199" t="s">
        <v>173</v>
      </c>
      <c r="C199" t="str">
        <f>TEXT(tblSales[[#This Row],[Date]],"mmmm")</f>
        <v>julio</v>
      </c>
      <c r="D199" t="s">
        <v>9</v>
      </c>
      <c r="E199" t="s">
        <v>18</v>
      </c>
      <c r="F199" t="s">
        <v>19</v>
      </c>
      <c r="G199">
        <v>289</v>
      </c>
      <c r="H199">
        <v>57.8</v>
      </c>
      <c r="I199">
        <v>1</v>
      </c>
    </row>
    <row r="200" spans="1:9" x14ac:dyDescent="0.25">
      <c r="A200">
        <v>1199</v>
      </c>
      <c r="B200" t="s">
        <v>53</v>
      </c>
      <c r="C200" t="str">
        <f>TEXT(tblSales[[#This Row],[Date]],"mmmm")</f>
        <v>abril</v>
      </c>
      <c r="D200" t="s">
        <v>9</v>
      </c>
      <c r="E200" t="s">
        <v>33</v>
      </c>
      <c r="F200" t="s">
        <v>15</v>
      </c>
      <c r="G200">
        <v>1083</v>
      </c>
      <c r="H200">
        <v>324.89999999999998</v>
      </c>
      <c r="I200">
        <v>3</v>
      </c>
    </row>
    <row r="201" spans="1:9" x14ac:dyDescent="0.25">
      <c r="A201">
        <v>1200</v>
      </c>
      <c r="B201" t="s">
        <v>85</v>
      </c>
      <c r="C201" t="str">
        <f>TEXT(tblSales[[#This Row],[Date]],"mmmm")</f>
        <v>julio</v>
      </c>
      <c r="D201" t="s">
        <v>26</v>
      </c>
      <c r="E201" t="s">
        <v>10</v>
      </c>
      <c r="F201" t="s">
        <v>11</v>
      </c>
      <c r="G201">
        <v>415</v>
      </c>
      <c r="H201">
        <v>107.9</v>
      </c>
      <c r="I201">
        <v>7</v>
      </c>
    </row>
    <row r="202" spans="1:9" x14ac:dyDescent="0.25">
      <c r="A202">
        <v>1201</v>
      </c>
      <c r="B202" t="s">
        <v>145</v>
      </c>
      <c r="C202" t="str">
        <f>TEXT(tblSales[[#This Row],[Date]],"mmmm")</f>
        <v>marzo</v>
      </c>
      <c r="D202" t="s">
        <v>13</v>
      </c>
      <c r="E202" t="s">
        <v>35</v>
      </c>
      <c r="F202" t="s">
        <v>11</v>
      </c>
      <c r="G202">
        <v>781</v>
      </c>
      <c r="H202">
        <v>124.96</v>
      </c>
      <c r="I202">
        <v>2</v>
      </c>
    </row>
    <row r="203" spans="1:9" x14ac:dyDescent="0.25">
      <c r="A203">
        <v>1202</v>
      </c>
      <c r="B203" t="s">
        <v>174</v>
      </c>
      <c r="C203" t="str">
        <f>TEXT(tblSales[[#This Row],[Date]],"mmmm")</f>
        <v>enero</v>
      </c>
      <c r="D203" t="s">
        <v>17</v>
      </c>
      <c r="E203" t="s">
        <v>33</v>
      </c>
      <c r="F203" t="s">
        <v>15</v>
      </c>
      <c r="G203">
        <v>184</v>
      </c>
      <c r="H203">
        <v>40.479999999999997</v>
      </c>
      <c r="I203">
        <v>6</v>
      </c>
    </row>
    <row r="204" spans="1:9" x14ac:dyDescent="0.25">
      <c r="A204">
        <v>1203</v>
      </c>
      <c r="B204" t="s">
        <v>166</v>
      </c>
      <c r="C204" t="str">
        <f>TEXT(tblSales[[#This Row],[Date]],"mmmm")</f>
        <v>agosto</v>
      </c>
      <c r="D204" t="s">
        <v>9</v>
      </c>
      <c r="E204" t="s">
        <v>10</v>
      </c>
      <c r="F204" t="s">
        <v>11</v>
      </c>
      <c r="G204">
        <v>1488</v>
      </c>
      <c r="H204">
        <v>193.44</v>
      </c>
      <c r="I204">
        <v>10</v>
      </c>
    </row>
    <row r="205" spans="1:9" x14ac:dyDescent="0.25">
      <c r="A205">
        <v>1204</v>
      </c>
      <c r="B205" t="s">
        <v>175</v>
      </c>
      <c r="C205" t="str">
        <f>TEXT(tblSales[[#This Row],[Date]],"mmmm")</f>
        <v>julio</v>
      </c>
      <c r="D205" t="s">
        <v>9</v>
      </c>
      <c r="E205" t="s">
        <v>18</v>
      </c>
      <c r="F205" t="s">
        <v>19</v>
      </c>
      <c r="G205">
        <v>28</v>
      </c>
      <c r="H205">
        <v>6.72</v>
      </c>
      <c r="I205">
        <v>6</v>
      </c>
    </row>
    <row r="206" spans="1:9" x14ac:dyDescent="0.25">
      <c r="A206">
        <v>1205</v>
      </c>
      <c r="B206" t="s">
        <v>176</v>
      </c>
      <c r="C206" t="str">
        <f>TEXT(tblSales[[#This Row],[Date]],"mmmm")</f>
        <v>julio</v>
      </c>
      <c r="D206" t="s">
        <v>13</v>
      </c>
      <c r="E206" t="s">
        <v>33</v>
      </c>
      <c r="F206" t="s">
        <v>15</v>
      </c>
      <c r="G206">
        <v>974</v>
      </c>
      <c r="H206">
        <v>175.32</v>
      </c>
      <c r="I206">
        <v>10</v>
      </c>
    </row>
    <row r="207" spans="1:9" x14ac:dyDescent="0.25">
      <c r="A207">
        <v>1206</v>
      </c>
      <c r="B207" t="s">
        <v>137</v>
      </c>
      <c r="C207" t="str">
        <f>TEXT(tblSales[[#This Row],[Date]],"mmmm")</f>
        <v>mayo</v>
      </c>
      <c r="D207" t="s">
        <v>9</v>
      </c>
      <c r="E207" t="s">
        <v>18</v>
      </c>
      <c r="F207" t="s">
        <v>19</v>
      </c>
      <c r="G207">
        <v>1311</v>
      </c>
      <c r="H207">
        <v>222.87</v>
      </c>
      <c r="I207">
        <v>10</v>
      </c>
    </row>
    <row r="208" spans="1:9" x14ac:dyDescent="0.25">
      <c r="A208">
        <v>1207</v>
      </c>
      <c r="B208" t="s">
        <v>177</v>
      </c>
      <c r="C208" t="str">
        <f>TEXT(tblSales[[#This Row],[Date]],"mmmm")</f>
        <v>junio</v>
      </c>
      <c r="D208" t="s">
        <v>26</v>
      </c>
      <c r="E208" t="s">
        <v>22</v>
      </c>
      <c r="F208" t="s">
        <v>19</v>
      </c>
      <c r="G208">
        <v>1257</v>
      </c>
      <c r="H208">
        <v>238.83</v>
      </c>
      <c r="I208">
        <v>6</v>
      </c>
    </row>
    <row r="209" spans="1:9" x14ac:dyDescent="0.25">
      <c r="A209">
        <v>1208</v>
      </c>
      <c r="B209" t="s">
        <v>129</v>
      </c>
      <c r="C209" t="str">
        <f>TEXT(tblSales[[#This Row],[Date]],"mmmm")</f>
        <v>septiembre</v>
      </c>
      <c r="D209" t="s">
        <v>13</v>
      </c>
      <c r="E209" t="s">
        <v>14</v>
      </c>
      <c r="F209" t="s">
        <v>15</v>
      </c>
      <c r="G209">
        <v>732</v>
      </c>
      <c r="H209">
        <v>117.12</v>
      </c>
      <c r="I209">
        <v>8</v>
      </c>
    </row>
    <row r="210" spans="1:9" x14ac:dyDescent="0.25">
      <c r="A210">
        <v>1209</v>
      </c>
      <c r="B210" t="s">
        <v>128</v>
      </c>
      <c r="C210" t="str">
        <f>TEXT(tblSales[[#This Row],[Date]],"mmmm")</f>
        <v>diciembre</v>
      </c>
      <c r="D210" t="s">
        <v>17</v>
      </c>
      <c r="E210" t="s">
        <v>18</v>
      </c>
      <c r="F210" t="s">
        <v>19</v>
      </c>
      <c r="G210">
        <v>194</v>
      </c>
      <c r="H210">
        <v>23.28</v>
      </c>
      <c r="I210">
        <v>10</v>
      </c>
    </row>
    <row r="211" spans="1:9" x14ac:dyDescent="0.25">
      <c r="A211">
        <v>1210</v>
      </c>
      <c r="B211" t="s">
        <v>66</v>
      </c>
      <c r="C211" t="str">
        <f>TEXT(tblSales[[#This Row],[Date]],"mmmm")</f>
        <v>septiembre</v>
      </c>
      <c r="D211" t="s">
        <v>26</v>
      </c>
      <c r="E211" t="s">
        <v>35</v>
      </c>
      <c r="F211" t="s">
        <v>11</v>
      </c>
      <c r="G211">
        <v>1200</v>
      </c>
      <c r="H211">
        <v>288</v>
      </c>
      <c r="I211">
        <v>4</v>
      </c>
    </row>
    <row r="212" spans="1:9" x14ac:dyDescent="0.25">
      <c r="A212">
        <v>1211</v>
      </c>
      <c r="B212" t="s">
        <v>178</v>
      </c>
      <c r="C212" t="str">
        <f>TEXT(tblSales[[#This Row],[Date]],"mmmm")</f>
        <v>febrero</v>
      </c>
      <c r="D212" t="s">
        <v>17</v>
      </c>
      <c r="E212" t="s">
        <v>22</v>
      </c>
      <c r="F212" t="s">
        <v>19</v>
      </c>
      <c r="G212">
        <v>1416</v>
      </c>
      <c r="H212">
        <v>339.84</v>
      </c>
      <c r="I212">
        <v>5</v>
      </c>
    </row>
    <row r="213" spans="1:9" x14ac:dyDescent="0.25">
      <c r="A213">
        <v>1212</v>
      </c>
      <c r="B213" t="s">
        <v>179</v>
      </c>
      <c r="C213" t="str">
        <f>TEXT(tblSales[[#This Row],[Date]],"mmmm")</f>
        <v>enero</v>
      </c>
      <c r="D213" t="s">
        <v>13</v>
      </c>
      <c r="E213" t="s">
        <v>10</v>
      </c>
      <c r="F213" t="s">
        <v>11</v>
      </c>
      <c r="G213">
        <v>619</v>
      </c>
      <c r="H213">
        <v>117.61</v>
      </c>
      <c r="I213">
        <v>9</v>
      </c>
    </row>
    <row r="214" spans="1:9" x14ac:dyDescent="0.25">
      <c r="A214">
        <v>1213</v>
      </c>
      <c r="B214" t="s">
        <v>180</v>
      </c>
      <c r="C214" t="str">
        <f>TEXT(tblSales[[#This Row],[Date]],"mmmm")</f>
        <v>agosto</v>
      </c>
      <c r="D214" t="s">
        <v>26</v>
      </c>
      <c r="E214" t="s">
        <v>14</v>
      </c>
      <c r="F214" t="s">
        <v>15</v>
      </c>
      <c r="G214">
        <v>525</v>
      </c>
      <c r="H214">
        <v>84</v>
      </c>
      <c r="I214">
        <v>5</v>
      </c>
    </row>
    <row r="215" spans="1:9" x14ac:dyDescent="0.25">
      <c r="A215">
        <v>1214</v>
      </c>
      <c r="B215" t="s">
        <v>181</v>
      </c>
      <c r="C215" t="str">
        <f>TEXT(tblSales[[#This Row],[Date]],"mmmm")</f>
        <v>mayo</v>
      </c>
      <c r="D215" t="s">
        <v>26</v>
      </c>
      <c r="E215" t="s">
        <v>22</v>
      </c>
      <c r="F215" t="s">
        <v>19</v>
      </c>
      <c r="G215">
        <v>1347</v>
      </c>
      <c r="H215">
        <v>188.58</v>
      </c>
      <c r="I215">
        <v>3</v>
      </c>
    </row>
    <row r="216" spans="1:9" x14ac:dyDescent="0.25">
      <c r="A216">
        <v>1215</v>
      </c>
      <c r="B216" t="s">
        <v>182</v>
      </c>
      <c r="C216" t="str">
        <f>TEXT(tblSales[[#This Row],[Date]],"mmmm")</f>
        <v>julio</v>
      </c>
      <c r="D216" t="s">
        <v>13</v>
      </c>
      <c r="E216" t="s">
        <v>35</v>
      </c>
      <c r="F216" t="s">
        <v>11</v>
      </c>
      <c r="G216">
        <v>1427</v>
      </c>
      <c r="H216">
        <v>85.62</v>
      </c>
      <c r="I216">
        <v>10</v>
      </c>
    </row>
    <row r="217" spans="1:9" x14ac:dyDescent="0.25">
      <c r="A217">
        <v>1216</v>
      </c>
      <c r="B217" t="s">
        <v>172</v>
      </c>
      <c r="C217" t="str">
        <f>TEXT(tblSales[[#This Row],[Date]],"mmmm")</f>
        <v>octubre</v>
      </c>
      <c r="D217" t="s">
        <v>26</v>
      </c>
      <c r="E217" t="s">
        <v>18</v>
      </c>
      <c r="F217" t="s">
        <v>19</v>
      </c>
      <c r="G217">
        <v>447</v>
      </c>
      <c r="H217">
        <v>35.76</v>
      </c>
      <c r="I217">
        <v>4</v>
      </c>
    </row>
    <row r="218" spans="1:9" x14ac:dyDescent="0.25">
      <c r="A218">
        <v>1217</v>
      </c>
      <c r="B218" t="s">
        <v>121</v>
      </c>
      <c r="C218" t="str">
        <f>TEXT(tblSales[[#This Row],[Date]],"mmmm")</f>
        <v>marzo</v>
      </c>
      <c r="D218" t="s">
        <v>9</v>
      </c>
      <c r="E218" t="s">
        <v>14</v>
      </c>
      <c r="F218" t="s">
        <v>15</v>
      </c>
      <c r="G218">
        <v>212</v>
      </c>
      <c r="H218">
        <v>10.6</v>
      </c>
      <c r="I218">
        <v>7</v>
      </c>
    </row>
    <row r="219" spans="1:9" x14ac:dyDescent="0.25">
      <c r="A219">
        <v>1218</v>
      </c>
      <c r="B219" t="s">
        <v>31</v>
      </c>
      <c r="C219" t="str">
        <f>TEXT(tblSales[[#This Row],[Date]],"mmmm")</f>
        <v>febrero</v>
      </c>
      <c r="D219" t="s">
        <v>17</v>
      </c>
      <c r="E219" t="s">
        <v>10</v>
      </c>
      <c r="F219" t="s">
        <v>11</v>
      </c>
      <c r="G219">
        <v>307</v>
      </c>
      <c r="H219">
        <v>18.420000000000002</v>
      </c>
      <c r="I219">
        <v>7</v>
      </c>
    </row>
    <row r="220" spans="1:9" x14ac:dyDescent="0.25">
      <c r="A220">
        <v>1219</v>
      </c>
      <c r="B220" t="s">
        <v>159</v>
      </c>
      <c r="C220" t="str">
        <f>TEXT(tblSales[[#This Row],[Date]],"mmmm")</f>
        <v>octubre</v>
      </c>
      <c r="D220" t="s">
        <v>9</v>
      </c>
      <c r="E220" t="s">
        <v>35</v>
      </c>
      <c r="F220" t="s">
        <v>11</v>
      </c>
      <c r="G220">
        <v>83</v>
      </c>
      <c r="H220">
        <v>14.94</v>
      </c>
      <c r="I220">
        <v>9</v>
      </c>
    </row>
    <row r="221" spans="1:9" x14ac:dyDescent="0.25">
      <c r="A221">
        <v>1220</v>
      </c>
      <c r="B221" t="s">
        <v>89</v>
      </c>
      <c r="C221" t="str">
        <f>TEXT(tblSales[[#This Row],[Date]],"mmmm")</f>
        <v>junio</v>
      </c>
      <c r="D221" t="s">
        <v>9</v>
      </c>
      <c r="E221" t="s">
        <v>18</v>
      </c>
      <c r="F221" t="s">
        <v>19</v>
      </c>
      <c r="G221">
        <v>339</v>
      </c>
      <c r="H221">
        <v>30.51</v>
      </c>
      <c r="I221">
        <v>10</v>
      </c>
    </row>
    <row r="222" spans="1:9" x14ac:dyDescent="0.25">
      <c r="A222">
        <v>1221</v>
      </c>
      <c r="B222" t="s">
        <v>183</v>
      </c>
      <c r="C222" t="str">
        <f>TEXT(tblSales[[#This Row],[Date]],"mmmm")</f>
        <v>septiembre</v>
      </c>
      <c r="D222" t="s">
        <v>26</v>
      </c>
      <c r="E222" t="s">
        <v>10</v>
      </c>
      <c r="F222" t="s">
        <v>11</v>
      </c>
      <c r="G222">
        <v>1490</v>
      </c>
      <c r="H222">
        <v>208.6</v>
      </c>
      <c r="I222">
        <v>8</v>
      </c>
    </row>
    <row r="223" spans="1:9" x14ac:dyDescent="0.25">
      <c r="A223">
        <v>1222</v>
      </c>
      <c r="B223" t="s">
        <v>184</v>
      </c>
      <c r="C223" t="str">
        <f>TEXT(tblSales[[#This Row],[Date]],"mmmm")</f>
        <v>febrero</v>
      </c>
      <c r="D223" t="s">
        <v>13</v>
      </c>
      <c r="E223" t="s">
        <v>33</v>
      </c>
      <c r="F223" t="s">
        <v>15</v>
      </c>
      <c r="G223">
        <v>311</v>
      </c>
      <c r="H223">
        <v>21.77</v>
      </c>
      <c r="I223">
        <v>7</v>
      </c>
    </row>
    <row r="224" spans="1:9" x14ac:dyDescent="0.25">
      <c r="A224">
        <v>1223</v>
      </c>
      <c r="B224" t="s">
        <v>185</v>
      </c>
      <c r="C224" t="str">
        <f>TEXT(tblSales[[#This Row],[Date]],"mmmm")</f>
        <v>febrero</v>
      </c>
      <c r="D224" t="s">
        <v>13</v>
      </c>
      <c r="E224" t="s">
        <v>33</v>
      </c>
      <c r="F224" t="s">
        <v>15</v>
      </c>
      <c r="G224">
        <v>330</v>
      </c>
      <c r="H224">
        <v>82.5</v>
      </c>
      <c r="I224">
        <v>7</v>
      </c>
    </row>
    <row r="225" spans="1:9" x14ac:dyDescent="0.25">
      <c r="A225">
        <v>1224</v>
      </c>
      <c r="B225" t="s">
        <v>139</v>
      </c>
      <c r="C225" t="str">
        <f>TEXT(tblSales[[#This Row],[Date]],"mmmm")</f>
        <v>mayo</v>
      </c>
      <c r="D225" t="s">
        <v>13</v>
      </c>
      <c r="E225" t="s">
        <v>22</v>
      </c>
      <c r="F225" t="s">
        <v>19</v>
      </c>
      <c r="G225">
        <v>501</v>
      </c>
      <c r="H225">
        <v>25.05</v>
      </c>
      <c r="I225">
        <v>8</v>
      </c>
    </row>
    <row r="226" spans="1:9" x14ac:dyDescent="0.25">
      <c r="A226">
        <v>1225</v>
      </c>
      <c r="B226" t="s">
        <v>186</v>
      </c>
      <c r="C226" t="str">
        <f>TEXT(tblSales[[#This Row],[Date]],"mmmm")</f>
        <v>agosto</v>
      </c>
      <c r="D226" t="s">
        <v>26</v>
      </c>
      <c r="E226" t="s">
        <v>18</v>
      </c>
      <c r="F226" t="s">
        <v>19</v>
      </c>
      <c r="G226">
        <v>1286</v>
      </c>
      <c r="H226">
        <v>192.9</v>
      </c>
      <c r="I226">
        <v>9</v>
      </c>
    </row>
    <row r="227" spans="1:9" x14ac:dyDescent="0.25">
      <c r="A227">
        <v>1226</v>
      </c>
      <c r="B227" t="s">
        <v>187</v>
      </c>
      <c r="C227" t="str">
        <f>TEXT(tblSales[[#This Row],[Date]],"mmmm")</f>
        <v>junio</v>
      </c>
      <c r="D227" t="s">
        <v>17</v>
      </c>
      <c r="E227" t="s">
        <v>14</v>
      </c>
      <c r="F227" t="s">
        <v>15</v>
      </c>
      <c r="G227">
        <v>393</v>
      </c>
      <c r="H227">
        <v>78.599999999999994</v>
      </c>
      <c r="I227">
        <v>8</v>
      </c>
    </row>
    <row r="228" spans="1:9" x14ac:dyDescent="0.25">
      <c r="A228">
        <v>1227</v>
      </c>
      <c r="B228" t="s">
        <v>178</v>
      </c>
      <c r="C228" t="str">
        <f>TEXT(tblSales[[#This Row],[Date]],"mmmm")</f>
        <v>febrero</v>
      </c>
      <c r="D228" t="s">
        <v>9</v>
      </c>
      <c r="E228" t="s">
        <v>35</v>
      </c>
      <c r="F228" t="s">
        <v>11</v>
      </c>
      <c r="G228">
        <v>446</v>
      </c>
      <c r="H228">
        <v>115.96</v>
      </c>
      <c r="I228">
        <v>10</v>
      </c>
    </row>
    <row r="229" spans="1:9" x14ac:dyDescent="0.25">
      <c r="A229">
        <v>1228</v>
      </c>
      <c r="B229" t="s">
        <v>150</v>
      </c>
      <c r="C229" t="str">
        <f>TEXT(tblSales[[#This Row],[Date]],"mmmm")</f>
        <v>octubre</v>
      </c>
      <c r="D229" t="s">
        <v>13</v>
      </c>
      <c r="E229" t="s">
        <v>22</v>
      </c>
      <c r="F229" t="s">
        <v>19</v>
      </c>
      <c r="G229">
        <v>1308</v>
      </c>
      <c r="H229">
        <v>300.83999999999997</v>
      </c>
      <c r="I229">
        <v>1</v>
      </c>
    </row>
    <row r="230" spans="1:9" x14ac:dyDescent="0.25">
      <c r="A230">
        <v>1229</v>
      </c>
      <c r="B230" t="s">
        <v>147</v>
      </c>
      <c r="C230" t="str">
        <f>TEXT(tblSales[[#This Row],[Date]],"mmmm")</f>
        <v>octubre</v>
      </c>
      <c r="D230" t="s">
        <v>17</v>
      </c>
      <c r="E230" t="s">
        <v>33</v>
      </c>
      <c r="F230" t="s">
        <v>15</v>
      </c>
      <c r="G230">
        <v>774</v>
      </c>
      <c r="H230">
        <v>170.28</v>
      </c>
      <c r="I230">
        <v>10</v>
      </c>
    </row>
    <row r="231" spans="1:9" x14ac:dyDescent="0.25">
      <c r="A231">
        <v>1230</v>
      </c>
      <c r="B231" t="s">
        <v>188</v>
      </c>
      <c r="C231" t="str">
        <f>TEXT(tblSales[[#This Row],[Date]],"mmmm")</f>
        <v>octubre</v>
      </c>
      <c r="D231" t="s">
        <v>9</v>
      </c>
      <c r="E231" t="s">
        <v>22</v>
      </c>
      <c r="F231" t="s">
        <v>19</v>
      </c>
      <c r="G231">
        <v>1397</v>
      </c>
      <c r="H231">
        <v>405.13</v>
      </c>
      <c r="I231">
        <v>6</v>
      </c>
    </row>
    <row r="232" spans="1:9" x14ac:dyDescent="0.25">
      <c r="A232">
        <v>1231</v>
      </c>
      <c r="B232" t="s">
        <v>110</v>
      </c>
      <c r="C232" t="str">
        <f>TEXT(tblSales[[#This Row],[Date]],"mmmm")</f>
        <v>mayo</v>
      </c>
      <c r="D232" t="s">
        <v>13</v>
      </c>
      <c r="E232" t="s">
        <v>35</v>
      </c>
      <c r="F232" t="s">
        <v>11</v>
      </c>
      <c r="G232">
        <v>1353</v>
      </c>
      <c r="H232">
        <v>135.30000000000001</v>
      </c>
      <c r="I232">
        <v>9</v>
      </c>
    </row>
    <row r="233" spans="1:9" x14ac:dyDescent="0.25">
      <c r="A233">
        <v>1232</v>
      </c>
      <c r="B233" t="s">
        <v>189</v>
      </c>
      <c r="C233" t="str">
        <f>TEXT(tblSales[[#This Row],[Date]],"mmmm")</f>
        <v>enero</v>
      </c>
      <c r="D233" t="s">
        <v>13</v>
      </c>
      <c r="E233" t="s">
        <v>18</v>
      </c>
      <c r="F233" t="s">
        <v>19</v>
      </c>
      <c r="G233">
        <v>996</v>
      </c>
      <c r="H233">
        <v>258.95999999999998</v>
      </c>
      <c r="I233">
        <v>3</v>
      </c>
    </row>
    <row r="234" spans="1:9" x14ac:dyDescent="0.25">
      <c r="A234">
        <v>1233</v>
      </c>
      <c r="B234" t="s">
        <v>190</v>
      </c>
      <c r="C234" t="str">
        <f>TEXT(tblSales[[#This Row],[Date]],"mmmm")</f>
        <v>agosto</v>
      </c>
      <c r="D234" t="s">
        <v>17</v>
      </c>
      <c r="E234" t="s">
        <v>33</v>
      </c>
      <c r="F234" t="s">
        <v>15</v>
      </c>
      <c r="G234">
        <v>730</v>
      </c>
      <c r="H234">
        <v>124.1</v>
      </c>
      <c r="I234">
        <v>6</v>
      </c>
    </row>
    <row r="235" spans="1:9" x14ac:dyDescent="0.25">
      <c r="A235">
        <v>1234</v>
      </c>
      <c r="B235" t="s">
        <v>191</v>
      </c>
      <c r="C235" t="str">
        <f>TEXT(tblSales[[#This Row],[Date]],"mmmm")</f>
        <v>junio</v>
      </c>
      <c r="D235" t="s">
        <v>9</v>
      </c>
      <c r="E235" t="s">
        <v>18</v>
      </c>
      <c r="F235" t="s">
        <v>19</v>
      </c>
      <c r="G235">
        <v>1109</v>
      </c>
      <c r="H235">
        <v>255.07</v>
      </c>
      <c r="I235">
        <v>4</v>
      </c>
    </row>
    <row r="236" spans="1:9" x14ac:dyDescent="0.25">
      <c r="A236">
        <v>1235</v>
      </c>
      <c r="B236" t="s">
        <v>161</v>
      </c>
      <c r="C236" t="str">
        <f>TEXT(tblSales[[#This Row],[Date]],"mmmm")</f>
        <v>marzo</v>
      </c>
      <c r="D236" t="s">
        <v>26</v>
      </c>
      <c r="E236" t="s">
        <v>35</v>
      </c>
      <c r="F236" t="s">
        <v>11</v>
      </c>
      <c r="G236">
        <v>573</v>
      </c>
      <c r="H236">
        <v>148.97999999999999</v>
      </c>
      <c r="I236">
        <v>2</v>
      </c>
    </row>
    <row r="237" spans="1:9" x14ac:dyDescent="0.25">
      <c r="A237">
        <v>1236</v>
      </c>
      <c r="B237" t="s">
        <v>192</v>
      </c>
      <c r="C237" t="str">
        <f>TEXT(tblSales[[#This Row],[Date]],"mmmm")</f>
        <v>febrero</v>
      </c>
      <c r="D237" t="s">
        <v>26</v>
      </c>
      <c r="E237" t="s">
        <v>35</v>
      </c>
      <c r="F237" t="s">
        <v>11</v>
      </c>
      <c r="G237">
        <v>687</v>
      </c>
      <c r="H237">
        <v>61.83</v>
      </c>
      <c r="I237">
        <v>7</v>
      </c>
    </row>
    <row r="238" spans="1:9" x14ac:dyDescent="0.25">
      <c r="A238">
        <v>1237</v>
      </c>
      <c r="B238" t="s">
        <v>193</v>
      </c>
      <c r="C238" t="str">
        <f>TEXT(tblSales[[#This Row],[Date]],"mmmm")</f>
        <v>diciembre</v>
      </c>
      <c r="D238" t="s">
        <v>13</v>
      </c>
      <c r="E238" t="s">
        <v>33</v>
      </c>
      <c r="F238" t="s">
        <v>15</v>
      </c>
      <c r="G238">
        <v>782</v>
      </c>
      <c r="H238">
        <v>39.1</v>
      </c>
      <c r="I238">
        <v>8</v>
      </c>
    </row>
    <row r="239" spans="1:9" x14ac:dyDescent="0.25">
      <c r="A239">
        <v>1238</v>
      </c>
      <c r="B239" t="s">
        <v>151</v>
      </c>
      <c r="C239" t="str">
        <f>TEXT(tblSales[[#This Row],[Date]],"mmmm")</f>
        <v>octubre</v>
      </c>
      <c r="D239" t="s">
        <v>13</v>
      </c>
      <c r="E239" t="s">
        <v>33</v>
      </c>
      <c r="F239" t="s">
        <v>15</v>
      </c>
      <c r="G239">
        <v>1394</v>
      </c>
      <c r="H239">
        <v>69.7</v>
      </c>
      <c r="I239">
        <v>1</v>
      </c>
    </row>
    <row r="240" spans="1:9" x14ac:dyDescent="0.25">
      <c r="A240">
        <v>1239</v>
      </c>
      <c r="B240" t="s">
        <v>94</v>
      </c>
      <c r="C240" t="str">
        <f>TEXT(tblSales[[#This Row],[Date]],"mmmm")</f>
        <v>abril</v>
      </c>
      <c r="D240" t="s">
        <v>9</v>
      </c>
      <c r="E240" t="s">
        <v>10</v>
      </c>
      <c r="F240" t="s">
        <v>11</v>
      </c>
      <c r="G240">
        <v>229</v>
      </c>
      <c r="H240">
        <v>57.25</v>
      </c>
      <c r="I240">
        <v>3</v>
      </c>
    </row>
    <row r="241" spans="1:9" x14ac:dyDescent="0.25">
      <c r="A241">
        <v>1240</v>
      </c>
      <c r="B241" t="s">
        <v>58</v>
      </c>
      <c r="C241" t="str">
        <f>TEXT(tblSales[[#This Row],[Date]],"mmmm")</f>
        <v>marzo</v>
      </c>
      <c r="D241" t="s">
        <v>13</v>
      </c>
      <c r="E241" t="s">
        <v>18</v>
      </c>
      <c r="F241" t="s">
        <v>19</v>
      </c>
      <c r="G241">
        <v>215</v>
      </c>
      <c r="H241">
        <v>19.350000000000001</v>
      </c>
      <c r="I241">
        <v>8</v>
      </c>
    </row>
    <row r="242" spans="1:9" x14ac:dyDescent="0.25">
      <c r="A242">
        <v>1241</v>
      </c>
      <c r="B242" t="s">
        <v>194</v>
      </c>
      <c r="C242" t="str">
        <f>TEXT(tblSales[[#This Row],[Date]],"mmmm")</f>
        <v>julio</v>
      </c>
      <c r="D242" t="s">
        <v>17</v>
      </c>
      <c r="E242" t="s">
        <v>18</v>
      </c>
      <c r="F242" t="s">
        <v>19</v>
      </c>
      <c r="G242">
        <v>320</v>
      </c>
      <c r="H242">
        <v>32</v>
      </c>
      <c r="I242">
        <v>8</v>
      </c>
    </row>
    <row r="243" spans="1:9" x14ac:dyDescent="0.25">
      <c r="A243">
        <v>1242</v>
      </c>
      <c r="B243" t="s">
        <v>144</v>
      </c>
      <c r="C243" t="str">
        <f>TEXT(tblSales[[#This Row],[Date]],"mmmm")</f>
        <v>julio</v>
      </c>
      <c r="D243" t="s">
        <v>13</v>
      </c>
      <c r="E243" t="s">
        <v>14</v>
      </c>
      <c r="F243" t="s">
        <v>15</v>
      </c>
      <c r="G243">
        <v>749</v>
      </c>
      <c r="H243">
        <v>127.33</v>
      </c>
      <c r="I243">
        <v>4</v>
      </c>
    </row>
    <row r="244" spans="1:9" x14ac:dyDescent="0.25">
      <c r="A244">
        <v>1243</v>
      </c>
      <c r="B244" t="s">
        <v>37</v>
      </c>
      <c r="C244" t="str">
        <f>TEXT(tblSales[[#This Row],[Date]],"mmmm")</f>
        <v>septiembre</v>
      </c>
      <c r="D244" t="s">
        <v>26</v>
      </c>
      <c r="E244" t="s">
        <v>35</v>
      </c>
      <c r="F244" t="s">
        <v>11</v>
      </c>
      <c r="G244">
        <v>644</v>
      </c>
      <c r="H244">
        <v>32.200000000000003</v>
      </c>
      <c r="I244">
        <v>4</v>
      </c>
    </row>
    <row r="245" spans="1:9" x14ac:dyDescent="0.25">
      <c r="A245">
        <v>1244</v>
      </c>
      <c r="B245" t="s">
        <v>195</v>
      </c>
      <c r="C245" t="str">
        <f>TEXT(tblSales[[#This Row],[Date]],"mmmm")</f>
        <v>junio</v>
      </c>
      <c r="D245" t="s">
        <v>9</v>
      </c>
      <c r="E245" t="s">
        <v>14</v>
      </c>
      <c r="F245" t="s">
        <v>15</v>
      </c>
      <c r="G245">
        <v>1072</v>
      </c>
      <c r="H245">
        <v>96.48</v>
      </c>
      <c r="I245">
        <v>7</v>
      </c>
    </row>
    <row r="246" spans="1:9" x14ac:dyDescent="0.25">
      <c r="A246">
        <v>1245</v>
      </c>
      <c r="B246" t="s">
        <v>195</v>
      </c>
      <c r="C246" t="str">
        <f>TEXT(tblSales[[#This Row],[Date]],"mmmm")</f>
        <v>junio</v>
      </c>
      <c r="D246" t="s">
        <v>13</v>
      </c>
      <c r="E246" t="s">
        <v>22</v>
      </c>
      <c r="F246" t="s">
        <v>19</v>
      </c>
      <c r="G246">
        <v>217</v>
      </c>
      <c r="H246">
        <v>54.25</v>
      </c>
      <c r="I246">
        <v>2</v>
      </c>
    </row>
    <row r="247" spans="1:9" x14ac:dyDescent="0.25">
      <c r="A247">
        <v>1246</v>
      </c>
      <c r="B247" t="s">
        <v>12</v>
      </c>
      <c r="C247" t="str">
        <f>TEXT(tblSales[[#This Row],[Date]],"mmmm")</f>
        <v>julio</v>
      </c>
      <c r="D247" t="s">
        <v>9</v>
      </c>
      <c r="E247" t="s">
        <v>33</v>
      </c>
      <c r="F247" t="s">
        <v>15</v>
      </c>
      <c r="G247">
        <v>1098</v>
      </c>
      <c r="H247">
        <v>252.54</v>
      </c>
      <c r="I247">
        <v>6</v>
      </c>
    </row>
    <row r="248" spans="1:9" x14ac:dyDescent="0.25">
      <c r="A248">
        <v>1247</v>
      </c>
      <c r="B248" t="s">
        <v>70</v>
      </c>
      <c r="C248" t="str">
        <f>TEXT(tblSales[[#This Row],[Date]],"mmmm")</f>
        <v>marzo</v>
      </c>
      <c r="D248" t="s">
        <v>26</v>
      </c>
      <c r="E248" t="s">
        <v>33</v>
      </c>
      <c r="F248" t="s">
        <v>15</v>
      </c>
      <c r="G248">
        <v>329</v>
      </c>
      <c r="H248">
        <v>29.61</v>
      </c>
      <c r="I248">
        <v>4</v>
      </c>
    </row>
    <row r="249" spans="1:9" x14ac:dyDescent="0.25">
      <c r="A249">
        <v>1248</v>
      </c>
      <c r="B249" t="s">
        <v>196</v>
      </c>
      <c r="C249" t="str">
        <f>TEXT(tblSales[[#This Row],[Date]],"mmmm")</f>
        <v>enero</v>
      </c>
      <c r="D249" t="s">
        <v>9</v>
      </c>
      <c r="E249" t="s">
        <v>35</v>
      </c>
      <c r="F249" t="s">
        <v>11</v>
      </c>
      <c r="G249">
        <v>1290</v>
      </c>
      <c r="H249">
        <v>77.400000000000006</v>
      </c>
      <c r="I249">
        <v>2</v>
      </c>
    </row>
    <row r="250" spans="1:9" x14ac:dyDescent="0.25">
      <c r="A250">
        <v>1249</v>
      </c>
      <c r="B250" t="s">
        <v>197</v>
      </c>
      <c r="C250" t="str">
        <f>TEXT(tblSales[[#This Row],[Date]],"mmmm")</f>
        <v>enero</v>
      </c>
      <c r="D250" t="s">
        <v>17</v>
      </c>
      <c r="E250" t="s">
        <v>10</v>
      </c>
      <c r="F250" t="s">
        <v>11</v>
      </c>
      <c r="G250">
        <v>923</v>
      </c>
      <c r="H250">
        <v>55.38</v>
      </c>
      <c r="I250">
        <v>2</v>
      </c>
    </row>
    <row r="251" spans="1:9" x14ac:dyDescent="0.25">
      <c r="A251">
        <v>1250</v>
      </c>
      <c r="B251" t="s">
        <v>198</v>
      </c>
      <c r="C251" t="str">
        <f>TEXT(tblSales[[#This Row],[Date]],"mmmm")</f>
        <v>junio</v>
      </c>
      <c r="D251" t="s">
        <v>17</v>
      </c>
      <c r="E251" t="s">
        <v>33</v>
      </c>
      <c r="F251" t="s">
        <v>15</v>
      </c>
      <c r="G251">
        <v>1153</v>
      </c>
      <c r="H251">
        <v>196.01</v>
      </c>
      <c r="I251">
        <v>7</v>
      </c>
    </row>
    <row r="252" spans="1:9" x14ac:dyDescent="0.25">
      <c r="A252">
        <v>1251</v>
      </c>
      <c r="B252" t="s">
        <v>199</v>
      </c>
      <c r="C252" t="str">
        <f>TEXT(tblSales[[#This Row],[Date]],"mmmm")</f>
        <v>enero</v>
      </c>
      <c r="D252" t="s">
        <v>13</v>
      </c>
      <c r="E252" t="s">
        <v>22</v>
      </c>
      <c r="F252" t="s">
        <v>19</v>
      </c>
      <c r="G252">
        <v>851</v>
      </c>
      <c r="H252">
        <v>246.79</v>
      </c>
      <c r="I252">
        <v>3</v>
      </c>
    </row>
    <row r="253" spans="1:9" x14ac:dyDescent="0.25">
      <c r="A253">
        <v>1252</v>
      </c>
      <c r="B253" t="s">
        <v>200</v>
      </c>
      <c r="C253" t="str">
        <f>TEXT(tblSales[[#This Row],[Date]],"mmmm")</f>
        <v>agosto</v>
      </c>
      <c r="D253" t="s">
        <v>9</v>
      </c>
      <c r="E253" t="s">
        <v>10</v>
      </c>
      <c r="F253" t="s">
        <v>11</v>
      </c>
      <c r="G253">
        <v>1160</v>
      </c>
      <c r="H253">
        <v>220.4</v>
      </c>
      <c r="I253">
        <v>2</v>
      </c>
    </row>
    <row r="254" spans="1:9" x14ac:dyDescent="0.25">
      <c r="A254">
        <v>1253</v>
      </c>
      <c r="B254" t="s">
        <v>201</v>
      </c>
      <c r="C254" t="str">
        <f>TEXT(tblSales[[#This Row],[Date]],"mmmm")</f>
        <v>febrero</v>
      </c>
      <c r="D254" t="s">
        <v>9</v>
      </c>
      <c r="E254" t="s">
        <v>10</v>
      </c>
      <c r="F254" t="s">
        <v>11</v>
      </c>
      <c r="G254">
        <v>1482</v>
      </c>
      <c r="H254">
        <v>163.02000000000001</v>
      </c>
      <c r="I254">
        <v>5</v>
      </c>
    </row>
    <row r="255" spans="1:9" x14ac:dyDescent="0.25">
      <c r="A255">
        <v>1254</v>
      </c>
      <c r="B255" t="s">
        <v>202</v>
      </c>
      <c r="C255" t="str">
        <f>TEXT(tblSales[[#This Row],[Date]],"mmmm")</f>
        <v>agosto</v>
      </c>
      <c r="D255" t="s">
        <v>26</v>
      </c>
      <c r="E255" t="s">
        <v>33</v>
      </c>
      <c r="F255" t="s">
        <v>15</v>
      </c>
      <c r="G255">
        <v>543</v>
      </c>
      <c r="H255">
        <v>48.87</v>
      </c>
      <c r="I255">
        <v>10</v>
      </c>
    </row>
    <row r="256" spans="1:9" x14ac:dyDescent="0.25">
      <c r="A256">
        <v>1255</v>
      </c>
      <c r="B256" t="s">
        <v>203</v>
      </c>
      <c r="C256" t="str">
        <f>TEXT(tblSales[[#This Row],[Date]],"mmmm")</f>
        <v>febrero</v>
      </c>
      <c r="D256" t="s">
        <v>17</v>
      </c>
      <c r="E256" t="s">
        <v>35</v>
      </c>
      <c r="F256" t="s">
        <v>11</v>
      </c>
      <c r="G256">
        <v>1268</v>
      </c>
      <c r="H256">
        <v>291.64</v>
      </c>
      <c r="I256">
        <v>2</v>
      </c>
    </row>
    <row r="257" spans="1:9" x14ac:dyDescent="0.25">
      <c r="A257">
        <v>1256</v>
      </c>
      <c r="B257" t="s">
        <v>204</v>
      </c>
      <c r="C257" t="str">
        <f>TEXT(tblSales[[#This Row],[Date]],"mmmm")</f>
        <v>julio</v>
      </c>
      <c r="D257" t="s">
        <v>17</v>
      </c>
      <c r="E257" t="s">
        <v>18</v>
      </c>
      <c r="F257" t="s">
        <v>19</v>
      </c>
      <c r="G257">
        <v>436</v>
      </c>
      <c r="H257">
        <v>82.84</v>
      </c>
      <c r="I257">
        <v>2</v>
      </c>
    </row>
    <row r="258" spans="1:9" x14ac:dyDescent="0.25">
      <c r="A258">
        <v>1257</v>
      </c>
      <c r="B258" t="s">
        <v>205</v>
      </c>
      <c r="C258" t="str">
        <f>TEXT(tblSales[[#This Row],[Date]],"mmmm")</f>
        <v>agosto</v>
      </c>
      <c r="D258" t="s">
        <v>26</v>
      </c>
      <c r="E258" t="s">
        <v>22</v>
      </c>
      <c r="F258" t="s">
        <v>19</v>
      </c>
      <c r="G258">
        <v>1304</v>
      </c>
      <c r="H258">
        <v>221.68</v>
      </c>
      <c r="I258">
        <v>1</v>
      </c>
    </row>
    <row r="259" spans="1:9" x14ac:dyDescent="0.25">
      <c r="A259">
        <v>1258</v>
      </c>
      <c r="B259" t="s">
        <v>111</v>
      </c>
      <c r="C259" t="str">
        <f>TEXT(tblSales[[#This Row],[Date]],"mmmm")</f>
        <v>septiembre</v>
      </c>
      <c r="D259" t="s">
        <v>17</v>
      </c>
      <c r="E259" t="s">
        <v>14</v>
      </c>
      <c r="F259" t="s">
        <v>15</v>
      </c>
      <c r="G259">
        <v>860</v>
      </c>
      <c r="H259">
        <v>137.6</v>
      </c>
      <c r="I259">
        <v>4</v>
      </c>
    </row>
    <row r="260" spans="1:9" x14ac:dyDescent="0.25">
      <c r="A260">
        <v>1259</v>
      </c>
      <c r="B260" t="s">
        <v>202</v>
      </c>
      <c r="C260" t="str">
        <f>TEXT(tblSales[[#This Row],[Date]],"mmmm")</f>
        <v>agosto</v>
      </c>
      <c r="D260" t="s">
        <v>17</v>
      </c>
      <c r="E260" t="s">
        <v>33</v>
      </c>
      <c r="F260" t="s">
        <v>15</v>
      </c>
      <c r="G260">
        <v>818</v>
      </c>
      <c r="H260">
        <v>98.16</v>
      </c>
      <c r="I260">
        <v>9</v>
      </c>
    </row>
    <row r="261" spans="1:9" x14ac:dyDescent="0.25">
      <c r="A261">
        <v>1260</v>
      </c>
      <c r="B261" t="s">
        <v>149</v>
      </c>
      <c r="C261" t="str">
        <f>TEXT(tblSales[[#This Row],[Date]],"mmmm")</f>
        <v>mayo</v>
      </c>
      <c r="D261" t="s">
        <v>17</v>
      </c>
      <c r="E261" t="s">
        <v>22</v>
      </c>
      <c r="F261" t="s">
        <v>19</v>
      </c>
      <c r="G261">
        <v>892</v>
      </c>
      <c r="H261">
        <v>205.16</v>
      </c>
      <c r="I261">
        <v>1</v>
      </c>
    </row>
    <row r="262" spans="1:9" x14ac:dyDescent="0.25">
      <c r="A262">
        <v>1261</v>
      </c>
      <c r="B262" t="s">
        <v>29</v>
      </c>
      <c r="C262" t="str">
        <f>TEXT(tblSales[[#This Row],[Date]],"mmmm")</f>
        <v>enero</v>
      </c>
      <c r="D262" t="s">
        <v>26</v>
      </c>
      <c r="E262" t="s">
        <v>35</v>
      </c>
      <c r="F262" t="s">
        <v>11</v>
      </c>
      <c r="G262">
        <v>996</v>
      </c>
      <c r="H262">
        <v>59.76</v>
      </c>
      <c r="I262">
        <v>2</v>
      </c>
    </row>
    <row r="263" spans="1:9" x14ac:dyDescent="0.25">
      <c r="A263">
        <v>1262</v>
      </c>
      <c r="B263" t="s">
        <v>206</v>
      </c>
      <c r="C263" t="str">
        <f>TEXT(tblSales[[#This Row],[Date]],"mmmm")</f>
        <v>agosto</v>
      </c>
      <c r="D263" t="s">
        <v>17</v>
      </c>
      <c r="E263" t="s">
        <v>18</v>
      </c>
      <c r="F263" t="s">
        <v>19</v>
      </c>
      <c r="G263">
        <v>281</v>
      </c>
      <c r="H263">
        <v>33.72</v>
      </c>
      <c r="I263">
        <v>5</v>
      </c>
    </row>
    <row r="264" spans="1:9" x14ac:dyDescent="0.25">
      <c r="A264">
        <v>1263</v>
      </c>
      <c r="B264" t="s">
        <v>34</v>
      </c>
      <c r="C264" t="str">
        <f>TEXT(tblSales[[#This Row],[Date]],"mmmm")</f>
        <v>septiembre</v>
      </c>
      <c r="D264" t="s">
        <v>13</v>
      </c>
      <c r="E264" t="s">
        <v>22</v>
      </c>
      <c r="F264" t="s">
        <v>19</v>
      </c>
      <c r="G264">
        <v>948</v>
      </c>
      <c r="H264">
        <v>161.16</v>
      </c>
      <c r="I264">
        <v>9</v>
      </c>
    </row>
    <row r="265" spans="1:9" x14ac:dyDescent="0.25">
      <c r="A265">
        <v>1264</v>
      </c>
      <c r="B265" t="s">
        <v>207</v>
      </c>
      <c r="C265" t="str">
        <f>TEXT(tblSales[[#This Row],[Date]],"mmmm")</f>
        <v>agosto</v>
      </c>
      <c r="D265" t="s">
        <v>13</v>
      </c>
      <c r="E265" t="s">
        <v>22</v>
      </c>
      <c r="F265" t="s">
        <v>19</v>
      </c>
      <c r="G265">
        <v>953</v>
      </c>
      <c r="H265">
        <v>171.54</v>
      </c>
      <c r="I265">
        <v>2</v>
      </c>
    </row>
    <row r="266" spans="1:9" x14ac:dyDescent="0.25">
      <c r="A266">
        <v>1265</v>
      </c>
      <c r="B266" t="s">
        <v>141</v>
      </c>
      <c r="C266" t="str">
        <f>TEXT(tblSales[[#This Row],[Date]],"mmmm")</f>
        <v>diciembre</v>
      </c>
      <c r="D266" t="s">
        <v>13</v>
      </c>
      <c r="E266" t="s">
        <v>22</v>
      </c>
      <c r="F266" t="s">
        <v>19</v>
      </c>
      <c r="G266">
        <v>943</v>
      </c>
      <c r="H266">
        <v>273.47000000000003</v>
      </c>
      <c r="I266">
        <v>4</v>
      </c>
    </row>
    <row r="267" spans="1:9" x14ac:dyDescent="0.25">
      <c r="A267">
        <v>1266</v>
      </c>
      <c r="B267" t="s">
        <v>208</v>
      </c>
      <c r="C267" t="str">
        <f>TEXT(tblSales[[#This Row],[Date]],"mmmm")</f>
        <v>diciembre</v>
      </c>
      <c r="D267" t="s">
        <v>17</v>
      </c>
      <c r="E267" t="s">
        <v>35</v>
      </c>
      <c r="F267" t="s">
        <v>11</v>
      </c>
      <c r="G267">
        <v>1379</v>
      </c>
      <c r="H267">
        <v>399.91</v>
      </c>
      <c r="I267">
        <v>7</v>
      </c>
    </row>
    <row r="268" spans="1:9" x14ac:dyDescent="0.25">
      <c r="A268">
        <v>1267</v>
      </c>
      <c r="B268" t="s">
        <v>113</v>
      </c>
      <c r="C268" t="str">
        <f>TEXT(tblSales[[#This Row],[Date]],"mmmm")</f>
        <v>octubre</v>
      </c>
      <c r="D268" t="s">
        <v>9</v>
      </c>
      <c r="E268" t="s">
        <v>18</v>
      </c>
      <c r="F268" t="s">
        <v>19</v>
      </c>
      <c r="G268">
        <v>289</v>
      </c>
      <c r="H268">
        <v>34.68</v>
      </c>
      <c r="I268">
        <v>3</v>
      </c>
    </row>
    <row r="269" spans="1:9" x14ac:dyDescent="0.25">
      <c r="A269">
        <v>1268</v>
      </c>
      <c r="B269" t="s">
        <v>164</v>
      </c>
      <c r="C269" t="str">
        <f>TEXT(tblSales[[#This Row],[Date]],"mmmm")</f>
        <v>marzo</v>
      </c>
      <c r="D269" t="s">
        <v>9</v>
      </c>
      <c r="E269" t="s">
        <v>10</v>
      </c>
      <c r="F269" t="s">
        <v>11</v>
      </c>
      <c r="G269">
        <v>1179</v>
      </c>
      <c r="H269">
        <v>259.38</v>
      </c>
      <c r="I269">
        <v>2</v>
      </c>
    </row>
    <row r="270" spans="1:9" x14ac:dyDescent="0.25">
      <c r="A270">
        <v>1269</v>
      </c>
      <c r="B270" t="s">
        <v>209</v>
      </c>
      <c r="C270" t="str">
        <f>TEXT(tblSales[[#This Row],[Date]],"mmmm")</f>
        <v>diciembre</v>
      </c>
      <c r="D270" t="s">
        <v>13</v>
      </c>
      <c r="E270" t="s">
        <v>10</v>
      </c>
      <c r="F270" t="s">
        <v>11</v>
      </c>
      <c r="G270">
        <v>1267</v>
      </c>
      <c r="H270">
        <v>342.09</v>
      </c>
      <c r="I270">
        <v>10</v>
      </c>
    </row>
    <row r="271" spans="1:9" x14ac:dyDescent="0.25">
      <c r="A271">
        <v>1270</v>
      </c>
      <c r="B271" t="s">
        <v>210</v>
      </c>
      <c r="C271" t="str">
        <f>TEXT(tblSales[[#This Row],[Date]],"mmmm")</f>
        <v>noviembre</v>
      </c>
      <c r="D271" t="s">
        <v>13</v>
      </c>
      <c r="E271" t="s">
        <v>14</v>
      </c>
      <c r="F271" t="s">
        <v>15</v>
      </c>
      <c r="G271">
        <v>374</v>
      </c>
      <c r="H271">
        <v>89.76</v>
      </c>
      <c r="I271">
        <v>7</v>
      </c>
    </row>
    <row r="272" spans="1:9" x14ac:dyDescent="0.25">
      <c r="A272">
        <v>1271</v>
      </c>
      <c r="B272" t="s">
        <v>132</v>
      </c>
      <c r="C272" t="str">
        <f>TEXT(tblSales[[#This Row],[Date]],"mmmm")</f>
        <v>junio</v>
      </c>
      <c r="D272" t="s">
        <v>26</v>
      </c>
      <c r="E272" t="s">
        <v>22</v>
      </c>
      <c r="F272" t="s">
        <v>19</v>
      </c>
      <c r="G272">
        <v>828</v>
      </c>
      <c r="H272">
        <v>74.52</v>
      </c>
      <c r="I272">
        <v>5</v>
      </c>
    </row>
    <row r="273" spans="1:9" x14ac:dyDescent="0.25">
      <c r="A273">
        <v>1272</v>
      </c>
      <c r="B273" t="s">
        <v>211</v>
      </c>
      <c r="C273" t="str">
        <f>TEXT(tblSales[[#This Row],[Date]],"mmmm")</f>
        <v>mayo</v>
      </c>
      <c r="D273" t="s">
        <v>9</v>
      </c>
      <c r="E273" t="s">
        <v>35</v>
      </c>
      <c r="F273" t="s">
        <v>11</v>
      </c>
      <c r="G273">
        <v>410</v>
      </c>
      <c r="H273">
        <v>90.2</v>
      </c>
      <c r="I273">
        <v>1</v>
      </c>
    </row>
    <row r="274" spans="1:9" x14ac:dyDescent="0.25">
      <c r="A274">
        <v>1273</v>
      </c>
      <c r="B274" t="s">
        <v>118</v>
      </c>
      <c r="C274" t="str">
        <f>TEXT(tblSales[[#This Row],[Date]],"mmmm")</f>
        <v>mayo</v>
      </c>
      <c r="D274" t="s">
        <v>17</v>
      </c>
      <c r="E274" t="s">
        <v>10</v>
      </c>
      <c r="F274" t="s">
        <v>11</v>
      </c>
      <c r="G274">
        <v>194</v>
      </c>
      <c r="H274">
        <v>56.26</v>
      </c>
      <c r="I274">
        <v>3</v>
      </c>
    </row>
    <row r="275" spans="1:9" x14ac:dyDescent="0.25">
      <c r="A275">
        <v>1274</v>
      </c>
      <c r="B275" t="s">
        <v>212</v>
      </c>
      <c r="C275" t="str">
        <f>TEXT(tblSales[[#This Row],[Date]],"mmmm")</f>
        <v>octubre</v>
      </c>
      <c r="D275" t="s">
        <v>17</v>
      </c>
      <c r="E275" t="s">
        <v>33</v>
      </c>
      <c r="F275" t="s">
        <v>15</v>
      </c>
      <c r="G275">
        <v>1289</v>
      </c>
      <c r="H275">
        <v>206.24</v>
      </c>
      <c r="I275">
        <v>4</v>
      </c>
    </row>
    <row r="276" spans="1:9" x14ac:dyDescent="0.25">
      <c r="A276">
        <v>1275</v>
      </c>
      <c r="B276" t="s">
        <v>213</v>
      </c>
      <c r="C276" t="str">
        <f>TEXT(tblSales[[#This Row],[Date]],"mmmm")</f>
        <v>octubre</v>
      </c>
      <c r="D276" t="s">
        <v>17</v>
      </c>
      <c r="E276" t="s">
        <v>14</v>
      </c>
      <c r="F276" t="s">
        <v>15</v>
      </c>
      <c r="G276">
        <v>815</v>
      </c>
      <c r="H276">
        <v>138.55000000000001</v>
      </c>
      <c r="I276">
        <v>3</v>
      </c>
    </row>
    <row r="277" spans="1:9" x14ac:dyDescent="0.25">
      <c r="A277">
        <v>1276</v>
      </c>
      <c r="B277" t="s">
        <v>211</v>
      </c>
      <c r="C277" t="str">
        <f>TEXT(tblSales[[#This Row],[Date]],"mmmm")</f>
        <v>mayo</v>
      </c>
      <c r="D277" t="s">
        <v>13</v>
      </c>
      <c r="E277" t="s">
        <v>22</v>
      </c>
      <c r="F277" t="s">
        <v>19</v>
      </c>
      <c r="G277">
        <v>707</v>
      </c>
      <c r="H277">
        <v>42.42</v>
      </c>
      <c r="I277">
        <v>4</v>
      </c>
    </row>
    <row r="278" spans="1:9" x14ac:dyDescent="0.25">
      <c r="A278">
        <v>1277</v>
      </c>
      <c r="B278" t="s">
        <v>214</v>
      </c>
      <c r="C278" t="str">
        <f>TEXT(tblSales[[#This Row],[Date]],"mmmm")</f>
        <v>septiembre</v>
      </c>
      <c r="D278" t="s">
        <v>9</v>
      </c>
      <c r="E278" t="s">
        <v>22</v>
      </c>
      <c r="F278" t="s">
        <v>19</v>
      </c>
      <c r="G278">
        <v>858</v>
      </c>
      <c r="H278">
        <v>205.92</v>
      </c>
      <c r="I278">
        <v>1</v>
      </c>
    </row>
    <row r="279" spans="1:9" x14ac:dyDescent="0.25">
      <c r="A279">
        <v>1278</v>
      </c>
      <c r="B279" t="s">
        <v>215</v>
      </c>
      <c r="C279" t="str">
        <f>TEXT(tblSales[[#This Row],[Date]],"mmmm")</f>
        <v>septiembre</v>
      </c>
      <c r="D279" t="s">
        <v>26</v>
      </c>
      <c r="E279" t="s">
        <v>14</v>
      </c>
      <c r="F279" t="s">
        <v>15</v>
      </c>
      <c r="G279">
        <v>1190</v>
      </c>
      <c r="H279">
        <v>142.80000000000001</v>
      </c>
      <c r="I279">
        <v>1</v>
      </c>
    </row>
    <row r="280" spans="1:9" x14ac:dyDescent="0.25">
      <c r="A280">
        <v>1279</v>
      </c>
      <c r="B280" t="s">
        <v>216</v>
      </c>
      <c r="C280" t="str">
        <f>TEXT(tblSales[[#This Row],[Date]],"mmmm")</f>
        <v>abril</v>
      </c>
      <c r="D280" t="s">
        <v>26</v>
      </c>
      <c r="E280" t="s">
        <v>35</v>
      </c>
      <c r="F280" t="s">
        <v>11</v>
      </c>
      <c r="G280">
        <v>1491</v>
      </c>
      <c r="H280">
        <v>134.19</v>
      </c>
      <c r="I280">
        <v>3</v>
      </c>
    </row>
    <row r="281" spans="1:9" x14ac:dyDescent="0.25">
      <c r="A281">
        <v>1280</v>
      </c>
      <c r="B281" t="s">
        <v>23</v>
      </c>
      <c r="C281" t="str">
        <f>TEXT(tblSales[[#This Row],[Date]],"mmmm")</f>
        <v>febrero</v>
      </c>
      <c r="D281" t="s">
        <v>9</v>
      </c>
      <c r="E281" t="s">
        <v>22</v>
      </c>
      <c r="F281" t="s">
        <v>19</v>
      </c>
      <c r="G281">
        <v>1033</v>
      </c>
      <c r="H281">
        <v>61.98</v>
      </c>
      <c r="I281">
        <v>10</v>
      </c>
    </row>
    <row r="282" spans="1:9" x14ac:dyDescent="0.25">
      <c r="A282">
        <v>1281</v>
      </c>
      <c r="B282" t="s">
        <v>217</v>
      </c>
      <c r="C282" t="str">
        <f>TEXT(tblSales[[#This Row],[Date]],"mmmm")</f>
        <v>enero</v>
      </c>
      <c r="D282" t="s">
        <v>17</v>
      </c>
      <c r="E282" t="s">
        <v>10</v>
      </c>
      <c r="F282" t="s">
        <v>11</v>
      </c>
      <c r="G282">
        <v>513</v>
      </c>
      <c r="H282">
        <v>71.819999999999993</v>
      </c>
      <c r="I282">
        <v>8</v>
      </c>
    </row>
    <row r="283" spans="1:9" x14ac:dyDescent="0.25">
      <c r="A283">
        <v>1282</v>
      </c>
      <c r="B283" t="s">
        <v>218</v>
      </c>
      <c r="C283" t="str">
        <f>TEXT(tblSales[[#This Row],[Date]],"mmmm")</f>
        <v>agosto</v>
      </c>
      <c r="D283" t="s">
        <v>17</v>
      </c>
      <c r="E283" t="s">
        <v>14</v>
      </c>
      <c r="F283" t="s">
        <v>15</v>
      </c>
      <c r="G283">
        <v>335</v>
      </c>
      <c r="H283">
        <v>67</v>
      </c>
      <c r="I283">
        <v>1</v>
      </c>
    </row>
    <row r="284" spans="1:9" x14ac:dyDescent="0.25">
      <c r="A284">
        <v>1283</v>
      </c>
      <c r="B284" t="s">
        <v>120</v>
      </c>
      <c r="C284" t="str">
        <f>TEXT(tblSales[[#This Row],[Date]],"mmmm")</f>
        <v>agosto</v>
      </c>
      <c r="D284" t="s">
        <v>26</v>
      </c>
      <c r="E284" t="s">
        <v>33</v>
      </c>
      <c r="F284" t="s">
        <v>15</v>
      </c>
      <c r="G284">
        <v>635</v>
      </c>
      <c r="H284">
        <v>184.15</v>
      </c>
      <c r="I284">
        <v>7</v>
      </c>
    </row>
    <row r="285" spans="1:9" x14ac:dyDescent="0.25">
      <c r="A285">
        <v>1284</v>
      </c>
      <c r="B285" t="s">
        <v>219</v>
      </c>
      <c r="C285" t="str">
        <f>TEXT(tblSales[[#This Row],[Date]],"mmmm")</f>
        <v>junio</v>
      </c>
      <c r="D285" t="s">
        <v>9</v>
      </c>
      <c r="E285" t="s">
        <v>33</v>
      </c>
      <c r="F285" t="s">
        <v>15</v>
      </c>
      <c r="G285">
        <v>651</v>
      </c>
      <c r="H285">
        <v>58.59</v>
      </c>
      <c r="I285">
        <v>9</v>
      </c>
    </row>
    <row r="286" spans="1:9" x14ac:dyDescent="0.25">
      <c r="A286">
        <v>1285</v>
      </c>
      <c r="B286" t="s">
        <v>203</v>
      </c>
      <c r="C286" t="str">
        <f>TEXT(tblSales[[#This Row],[Date]],"mmmm")</f>
        <v>febrero</v>
      </c>
      <c r="D286" t="s">
        <v>9</v>
      </c>
      <c r="E286" t="s">
        <v>18</v>
      </c>
      <c r="F286" t="s">
        <v>19</v>
      </c>
      <c r="G286">
        <v>585</v>
      </c>
      <c r="H286">
        <v>93.6</v>
      </c>
      <c r="I286">
        <v>3</v>
      </c>
    </row>
    <row r="287" spans="1:9" x14ac:dyDescent="0.25">
      <c r="A287">
        <v>1286</v>
      </c>
      <c r="B287" t="s">
        <v>220</v>
      </c>
      <c r="C287" t="str">
        <f>TEXT(tblSales[[#This Row],[Date]],"mmmm")</f>
        <v>octubre</v>
      </c>
      <c r="D287" t="s">
        <v>13</v>
      </c>
      <c r="E287" t="s">
        <v>14</v>
      </c>
      <c r="F287" t="s">
        <v>15</v>
      </c>
      <c r="G287">
        <v>80</v>
      </c>
      <c r="H287">
        <v>19.2</v>
      </c>
      <c r="I287">
        <v>9</v>
      </c>
    </row>
    <row r="288" spans="1:9" x14ac:dyDescent="0.25">
      <c r="A288">
        <v>1287</v>
      </c>
      <c r="B288" t="s">
        <v>173</v>
      </c>
      <c r="C288" t="str">
        <f>TEXT(tblSales[[#This Row],[Date]],"mmmm")</f>
        <v>julio</v>
      </c>
      <c r="D288" t="s">
        <v>17</v>
      </c>
      <c r="E288" t="s">
        <v>33</v>
      </c>
      <c r="F288" t="s">
        <v>15</v>
      </c>
      <c r="G288">
        <v>1338</v>
      </c>
      <c r="H288">
        <v>267.60000000000002</v>
      </c>
      <c r="I288">
        <v>5</v>
      </c>
    </row>
    <row r="289" spans="1:9" x14ac:dyDescent="0.25">
      <c r="A289">
        <v>1288</v>
      </c>
      <c r="B289" t="s">
        <v>221</v>
      </c>
      <c r="C289" t="str">
        <f>TEXT(tblSales[[#This Row],[Date]],"mmmm")</f>
        <v>julio</v>
      </c>
      <c r="D289" t="s">
        <v>26</v>
      </c>
      <c r="E289" t="s">
        <v>10</v>
      </c>
      <c r="F289" t="s">
        <v>11</v>
      </c>
      <c r="G289">
        <v>1451</v>
      </c>
      <c r="H289">
        <v>333.73</v>
      </c>
      <c r="I289">
        <v>5</v>
      </c>
    </row>
    <row r="290" spans="1:9" x14ac:dyDescent="0.25">
      <c r="A290">
        <v>1289</v>
      </c>
      <c r="B290" t="s">
        <v>222</v>
      </c>
      <c r="C290" t="str">
        <f>TEXT(tblSales[[#This Row],[Date]],"mmmm")</f>
        <v>diciembre</v>
      </c>
      <c r="D290" t="s">
        <v>9</v>
      </c>
      <c r="E290" t="s">
        <v>14</v>
      </c>
      <c r="F290" t="s">
        <v>15</v>
      </c>
      <c r="G290">
        <v>393</v>
      </c>
      <c r="H290">
        <v>55.02</v>
      </c>
      <c r="I290">
        <v>9</v>
      </c>
    </row>
    <row r="291" spans="1:9" x14ac:dyDescent="0.25">
      <c r="A291">
        <v>1290</v>
      </c>
      <c r="B291" t="s">
        <v>223</v>
      </c>
      <c r="C291" t="str">
        <f>TEXT(tblSales[[#This Row],[Date]],"mmmm")</f>
        <v>mayo</v>
      </c>
      <c r="D291" t="s">
        <v>9</v>
      </c>
      <c r="E291" t="s">
        <v>10</v>
      </c>
      <c r="F291" t="s">
        <v>11</v>
      </c>
      <c r="G291">
        <v>615</v>
      </c>
      <c r="H291">
        <v>141.44999999999999</v>
      </c>
      <c r="I291">
        <v>5</v>
      </c>
    </row>
    <row r="292" spans="1:9" x14ac:dyDescent="0.25">
      <c r="A292">
        <v>1291</v>
      </c>
      <c r="B292" t="s">
        <v>224</v>
      </c>
      <c r="C292" t="str">
        <f>TEXT(tblSales[[#This Row],[Date]],"mmmm")</f>
        <v>octubre</v>
      </c>
      <c r="D292" t="s">
        <v>9</v>
      </c>
      <c r="E292" t="s">
        <v>14</v>
      </c>
      <c r="F292" t="s">
        <v>15</v>
      </c>
      <c r="G292">
        <v>1239</v>
      </c>
      <c r="H292">
        <v>223.02</v>
      </c>
      <c r="I292">
        <v>3</v>
      </c>
    </row>
    <row r="293" spans="1:9" x14ac:dyDescent="0.25">
      <c r="A293">
        <v>1292</v>
      </c>
      <c r="B293" t="s">
        <v>225</v>
      </c>
      <c r="C293" t="str">
        <f>TEXT(tblSales[[#This Row],[Date]],"mmmm")</f>
        <v>junio</v>
      </c>
      <c r="D293" t="s">
        <v>9</v>
      </c>
      <c r="E293" t="s">
        <v>14</v>
      </c>
      <c r="F293" t="s">
        <v>15</v>
      </c>
      <c r="G293">
        <v>304</v>
      </c>
      <c r="H293">
        <v>18.239999999999998</v>
      </c>
      <c r="I293">
        <v>5</v>
      </c>
    </row>
    <row r="294" spans="1:9" x14ac:dyDescent="0.25">
      <c r="A294">
        <v>1293</v>
      </c>
      <c r="B294" t="s">
        <v>156</v>
      </c>
      <c r="C294" t="str">
        <f>TEXT(tblSales[[#This Row],[Date]],"mmmm")</f>
        <v>abril</v>
      </c>
      <c r="D294" t="s">
        <v>26</v>
      </c>
      <c r="E294" t="s">
        <v>18</v>
      </c>
      <c r="F294" t="s">
        <v>19</v>
      </c>
      <c r="G294">
        <v>499</v>
      </c>
      <c r="H294">
        <v>104.79</v>
      </c>
      <c r="I294">
        <v>4</v>
      </c>
    </row>
    <row r="295" spans="1:9" x14ac:dyDescent="0.25">
      <c r="A295">
        <v>1294</v>
      </c>
      <c r="B295" t="s">
        <v>63</v>
      </c>
      <c r="C295" t="str">
        <f>TEXT(tblSales[[#This Row],[Date]],"mmmm")</f>
        <v>marzo</v>
      </c>
      <c r="D295" t="s">
        <v>13</v>
      </c>
      <c r="E295" t="s">
        <v>33</v>
      </c>
      <c r="F295" t="s">
        <v>15</v>
      </c>
      <c r="G295">
        <v>1386</v>
      </c>
      <c r="H295">
        <v>221.76</v>
      </c>
      <c r="I295">
        <v>5</v>
      </c>
    </row>
    <row r="296" spans="1:9" x14ac:dyDescent="0.25">
      <c r="A296">
        <v>1295</v>
      </c>
      <c r="B296" t="s">
        <v>157</v>
      </c>
      <c r="C296" t="str">
        <f>TEXT(tblSales[[#This Row],[Date]],"mmmm")</f>
        <v>enero</v>
      </c>
      <c r="D296" t="s">
        <v>17</v>
      </c>
      <c r="E296" t="s">
        <v>22</v>
      </c>
      <c r="F296" t="s">
        <v>19</v>
      </c>
      <c r="G296">
        <v>643</v>
      </c>
      <c r="H296">
        <v>70.73</v>
      </c>
      <c r="I296">
        <v>8</v>
      </c>
    </row>
    <row r="297" spans="1:9" x14ac:dyDescent="0.25">
      <c r="A297">
        <v>1296</v>
      </c>
      <c r="B297" t="s">
        <v>171</v>
      </c>
      <c r="C297" t="str">
        <f>TEXT(tblSales[[#This Row],[Date]],"mmmm")</f>
        <v>julio</v>
      </c>
      <c r="D297" t="s">
        <v>13</v>
      </c>
      <c r="E297" t="s">
        <v>35</v>
      </c>
      <c r="F297" t="s">
        <v>11</v>
      </c>
      <c r="G297">
        <v>323</v>
      </c>
      <c r="H297">
        <v>41.99</v>
      </c>
      <c r="I297">
        <v>2</v>
      </c>
    </row>
    <row r="298" spans="1:9" x14ac:dyDescent="0.25">
      <c r="A298">
        <v>1297</v>
      </c>
      <c r="B298" t="s">
        <v>55</v>
      </c>
      <c r="C298" t="str">
        <f>TEXT(tblSales[[#This Row],[Date]],"mmmm")</f>
        <v>diciembre</v>
      </c>
      <c r="D298" t="s">
        <v>13</v>
      </c>
      <c r="E298" t="s">
        <v>18</v>
      </c>
      <c r="F298" t="s">
        <v>19</v>
      </c>
      <c r="G298">
        <v>448</v>
      </c>
      <c r="H298">
        <v>49.28</v>
      </c>
      <c r="I298">
        <v>7</v>
      </c>
    </row>
    <row r="299" spans="1:9" x14ac:dyDescent="0.25">
      <c r="A299">
        <v>1298</v>
      </c>
      <c r="B299" t="s">
        <v>226</v>
      </c>
      <c r="C299" t="str">
        <f>TEXT(tblSales[[#This Row],[Date]],"mmmm")</f>
        <v>febrero</v>
      </c>
      <c r="D299" t="s">
        <v>9</v>
      </c>
      <c r="E299" t="s">
        <v>10</v>
      </c>
      <c r="F299" t="s">
        <v>11</v>
      </c>
      <c r="G299">
        <v>947</v>
      </c>
      <c r="H299">
        <v>132.58000000000001</v>
      </c>
      <c r="I299">
        <v>3</v>
      </c>
    </row>
    <row r="300" spans="1:9" x14ac:dyDescent="0.25">
      <c r="A300">
        <v>1299</v>
      </c>
      <c r="B300" t="s">
        <v>148</v>
      </c>
      <c r="C300" t="str">
        <f>TEXT(tblSales[[#This Row],[Date]],"mmmm")</f>
        <v>octubre</v>
      </c>
      <c r="D300" t="s">
        <v>13</v>
      </c>
      <c r="E300" t="s">
        <v>18</v>
      </c>
      <c r="F300" t="s">
        <v>19</v>
      </c>
      <c r="G300">
        <v>180</v>
      </c>
      <c r="H300">
        <v>46.8</v>
      </c>
      <c r="I300">
        <v>4</v>
      </c>
    </row>
    <row r="301" spans="1:9" x14ac:dyDescent="0.25">
      <c r="A301">
        <v>1300</v>
      </c>
      <c r="B301" t="s">
        <v>210</v>
      </c>
      <c r="C301" t="str">
        <f>TEXT(tblSales[[#This Row],[Date]],"mmmm")</f>
        <v>noviembre</v>
      </c>
      <c r="D301" t="s">
        <v>17</v>
      </c>
      <c r="E301" t="s">
        <v>22</v>
      </c>
      <c r="F301" t="s">
        <v>19</v>
      </c>
      <c r="G301">
        <v>927</v>
      </c>
      <c r="H301">
        <v>231.75</v>
      </c>
      <c r="I301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80DA-02B7-4BD3-8C43-5BDDB972111B}">
  <dimension ref="A3:H26"/>
  <sheetViews>
    <sheetView workbookViewId="0">
      <selection activeCell="A28" sqref="A28"/>
    </sheetView>
  </sheetViews>
  <sheetFormatPr baseColWidth="10" defaultRowHeight="15" x14ac:dyDescent="0.25"/>
  <cols>
    <col min="1" max="1" width="17.5703125" bestFit="1" customWidth="1"/>
    <col min="2" max="2" width="13.5703125" bestFit="1" customWidth="1"/>
    <col min="3" max="4" width="18" bestFit="1" customWidth="1"/>
    <col min="7" max="7" width="17.5703125" bestFit="1" customWidth="1"/>
    <col min="8" max="8" width="14" bestFit="1" customWidth="1"/>
  </cols>
  <sheetData>
    <row r="3" spans="1:8" x14ac:dyDescent="0.25">
      <c r="A3" s="1" t="s">
        <v>227</v>
      </c>
      <c r="B3" t="s">
        <v>229</v>
      </c>
      <c r="G3" s="1" t="s">
        <v>227</v>
      </c>
      <c r="H3" t="s">
        <v>229</v>
      </c>
    </row>
    <row r="4" spans="1:8" x14ac:dyDescent="0.25">
      <c r="A4" s="2" t="s">
        <v>13</v>
      </c>
      <c r="B4" s="3">
        <v>59328</v>
      </c>
      <c r="G4" s="2" t="s">
        <v>231</v>
      </c>
      <c r="H4" s="3">
        <v>21916</v>
      </c>
    </row>
    <row r="5" spans="1:8" x14ac:dyDescent="0.25">
      <c r="A5" s="2" t="s">
        <v>9</v>
      </c>
      <c r="B5" s="3">
        <v>65356</v>
      </c>
      <c r="G5" s="2" t="s">
        <v>232</v>
      </c>
      <c r="H5" s="3">
        <v>27563</v>
      </c>
    </row>
    <row r="6" spans="1:8" x14ac:dyDescent="0.25">
      <c r="A6" s="2" t="s">
        <v>26</v>
      </c>
      <c r="B6" s="3">
        <v>57397</v>
      </c>
      <c r="G6" s="2" t="s">
        <v>233</v>
      </c>
      <c r="H6" s="3">
        <v>30493</v>
      </c>
    </row>
    <row r="7" spans="1:8" x14ac:dyDescent="0.25">
      <c r="A7" s="2" t="s">
        <v>17</v>
      </c>
      <c r="B7" s="3">
        <v>60705</v>
      </c>
      <c r="G7" s="2" t="s">
        <v>234</v>
      </c>
      <c r="H7" s="3">
        <v>6519</v>
      </c>
    </row>
    <row r="8" spans="1:8" x14ac:dyDescent="0.25">
      <c r="A8" s="2" t="s">
        <v>228</v>
      </c>
      <c r="B8" s="3">
        <v>242786</v>
      </c>
      <c r="G8" s="2" t="s">
        <v>235</v>
      </c>
      <c r="H8" s="3">
        <v>13448</v>
      </c>
    </row>
    <row r="9" spans="1:8" x14ac:dyDescent="0.25">
      <c r="G9" s="2" t="s">
        <v>236</v>
      </c>
      <c r="H9" s="3">
        <v>16919</v>
      </c>
    </row>
    <row r="10" spans="1:8" x14ac:dyDescent="0.25">
      <c r="G10" s="2" t="s">
        <v>237</v>
      </c>
      <c r="H10" s="3">
        <v>18264</v>
      </c>
    </row>
    <row r="11" spans="1:8" x14ac:dyDescent="0.25">
      <c r="G11" s="2" t="s">
        <v>238</v>
      </c>
      <c r="H11" s="3">
        <v>23234</v>
      </c>
    </row>
    <row r="12" spans="1:8" x14ac:dyDescent="0.25">
      <c r="G12" s="2" t="s">
        <v>239</v>
      </c>
      <c r="H12" s="3">
        <v>29403</v>
      </c>
    </row>
    <row r="13" spans="1:8" x14ac:dyDescent="0.25">
      <c r="G13" s="2" t="s">
        <v>240</v>
      </c>
      <c r="H13" s="3">
        <v>20726</v>
      </c>
    </row>
    <row r="14" spans="1:8" x14ac:dyDescent="0.25">
      <c r="G14" s="2" t="s">
        <v>241</v>
      </c>
      <c r="H14" s="3">
        <v>14769</v>
      </c>
    </row>
    <row r="15" spans="1:8" x14ac:dyDescent="0.25">
      <c r="A15" s="1" t="s">
        <v>227</v>
      </c>
      <c r="B15" t="s">
        <v>229</v>
      </c>
      <c r="G15" s="2" t="s">
        <v>242</v>
      </c>
      <c r="H15" s="3">
        <v>19532</v>
      </c>
    </row>
    <row r="16" spans="1:8" x14ac:dyDescent="0.25">
      <c r="A16" s="2" t="s">
        <v>15</v>
      </c>
      <c r="B16" s="3">
        <v>82114</v>
      </c>
      <c r="G16" s="2" t="s">
        <v>228</v>
      </c>
      <c r="H16" s="3">
        <v>242786</v>
      </c>
    </row>
    <row r="17" spans="1:8" x14ac:dyDescent="0.25">
      <c r="A17" s="2" t="s">
        <v>19</v>
      </c>
      <c r="B17" s="3">
        <v>83500</v>
      </c>
    </row>
    <row r="18" spans="1:8" x14ac:dyDescent="0.25">
      <c r="A18" s="2" t="s">
        <v>11</v>
      </c>
      <c r="B18" s="3">
        <v>77172</v>
      </c>
    </row>
    <row r="19" spans="1:8" x14ac:dyDescent="0.25">
      <c r="A19" s="2" t="s">
        <v>228</v>
      </c>
      <c r="B19" s="3">
        <v>242786</v>
      </c>
      <c r="G19" s="1" t="s">
        <v>227</v>
      </c>
      <c r="H19" t="s">
        <v>243</v>
      </c>
    </row>
    <row r="20" spans="1:8" x14ac:dyDescent="0.25">
      <c r="G20" s="2" t="s">
        <v>33</v>
      </c>
      <c r="H20" s="3">
        <v>7215.3099999999977</v>
      </c>
    </row>
    <row r="21" spans="1:8" x14ac:dyDescent="0.25">
      <c r="G21" s="2" t="s">
        <v>14</v>
      </c>
      <c r="H21" s="3">
        <v>6411.4000000000015</v>
      </c>
    </row>
    <row r="22" spans="1:8" x14ac:dyDescent="0.25">
      <c r="G22" s="2" t="s">
        <v>35</v>
      </c>
      <c r="H22" s="3">
        <v>6510.5599999999977</v>
      </c>
    </row>
    <row r="23" spans="1:8" x14ac:dyDescent="0.25">
      <c r="G23" s="2" t="s">
        <v>10</v>
      </c>
      <c r="H23" s="3">
        <v>6652.1499999999987</v>
      </c>
    </row>
    <row r="24" spans="1:8" x14ac:dyDescent="0.25">
      <c r="G24" s="2" t="s">
        <v>18</v>
      </c>
      <c r="H24" s="3">
        <v>6674.9700000000021</v>
      </c>
    </row>
    <row r="25" spans="1:8" x14ac:dyDescent="0.25">
      <c r="G25" s="2" t="s">
        <v>22</v>
      </c>
      <c r="H25" s="3">
        <v>8429.76</v>
      </c>
    </row>
    <row r="26" spans="1:8" x14ac:dyDescent="0.25">
      <c r="G26" s="2" t="s">
        <v>228</v>
      </c>
      <c r="H26" s="3">
        <v>41894.15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A00D-89B2-4B7D-97DC-0FE66D81A036}">
  <dimension ref="A1:R40"/>
  <sheetViews>
    <sheetView showGridLines="0" tabSelected="1" topLeftCell="A3" zoomScaleNormal="100" workbookViewId="0">
      <selection activeCell="L3" sqref="L3"/>
    </sheetView>
  </sheetViews>
  <sheetFormatPr baseColWidth="10" defaultRowHeight="15" x14ac:dyDescent="0.25"/>
  <cols>
    <col min="2" max="2" width="21.42578125" customWidth="1"/>
    <col min="4" max="4" width="20.28515625" customWidth="1"/>
    <col min="6" max="6" width="16" customWidth="1"/>
    <col min="8" max="8" width="15.140625" customWidth="1"/>
    <col min="13" max="13" width="11.42578125" customWidth="1"/>
  </cols>
  <sheetData>
    <row r="1" spans="1:11" x14ac:dyDescent="0.25">
      <c r="A1" s="11" t="s">
        <v>244</v>
      </c>
      <c r="B1" s="11"/>
      <c r="C1" s="11"/>
      <c r="D1" s="11"/>
      <c r="E1" s="11"/>
      <c r="F1" s="11"/>
      <c r="G1" s="11"/>
      <c r="H1" s="11"/>
    </row>
    <row r="2" spans="1:11" x14ac:dyDescent="0.25">
      <c r="A2" s="11"/>
      <c r="B2" s="11"/>
      <c r="C2" s="11"/>
      <c r="D2" s="11"/>
      <c r="E2" s="11"/>
      <c r="F2" s="11"/>
      <c r="G2" s="11"/>
      <c r="H2" s="11"/>
    </row>
    <row r="3" spans="1:11" ht="15.75" thickBot="1" x14ac:dyDescent="0.3"/>
    <row r="4" spans="1:11" x14ac:dyDescent="0.25">
      <c r="B4" s="7" t="s">
        <v>245</v>
      </c>
      <c r="D4" s="7" t="s">
        <v>246</v>
      </c>
      <c r="F4" s="7" t="s">
        <v>247</v>
      </c>
      <c r="H4" s="10" t="s">
        <v>248</v>
      </c>
    </row>
    <row r="5" spans="1:11" ht="24" thickBot="1" x14ac:dyDescent="0.4">
      <c r="B5" s="8">
        <f>SUM(tblSales[Sales])</f>
        <v>242786</v>
      </c>
      <c r="D5" s="8">
        <f>SUM(tblSales[Profit])</f>
        <v>41894.14999999998</v>
      </c>
      <c r="F5" s="9">
        <f>COUNTA(tblSales[Order ID])</f>
        <v>300</v>
      </c>
      <c r="H5" s="9">
        <f>SUM(tblSales[Quantity])</f>
        <v>1587</v>
      </c>
    </row>
    <row r="8" spans="1:11" x14ac:dyDescent="0.25">
      <c r="K8" s="4"/>
    </row>
    <row r="34" spans="1:18" x14ac:dyDescent="0.25">
      <c r="R34" s="6"/>
    </row>
    <row r="40" spans="1:18" x14ac:dyDescent="0.25">
      <c r="A40" s="5" t="s">
        <v>249</v>
      </c>
      <c r="B40" s="5"/>
      <c r="C40" s="5"/>
      <c r="D40" s="5"/>
      <c r="E40" s="5"/>
    </row>
  </sheetData>
  <mergeCells count="1">
    <mergeCell ref="A1:H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tblSales</vt:lpstr>
      <vt:lpstr>PivotTables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Cristhian Murillo Murillo</cp:lastModifiedBy>
  <dcterms:created xsi:type="dcterms:W3CDTF">2026-07-24T15:12:28Z</dcterms:created>
  <dcterms:modified xsi:type="dcterms:W3CDTF">2026-07-25T15:07:30Z</dcterms:modified>
</cp:coreProperties>
</file>